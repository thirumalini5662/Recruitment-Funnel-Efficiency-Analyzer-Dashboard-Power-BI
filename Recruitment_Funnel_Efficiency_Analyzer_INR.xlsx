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Funnel_Summary" sheetId="3" state="visible" r:id="rId3"/>
    <sheet xmlns:r="http://schemas.openxmlformats.org/officeDocument/2006/relationships" name="Source_Effectiveness" sheetId="4" state="visible" r:id="rId4"/>
    <sheet xmlns:r="http://schemas.openxmlformats.org/officeDocument/2006/relationships" name="Department_Analysis" sheetId="5" state="visible" r:id="rId5"/>
    <sheet xmlns:r="http://schemas.openxmlformats.org/officeDocument/2006/relationships" name="Monthly_Trend" sheetId="6" state="visible" r:id="rId6"/>
    <sheet xmlns:r="http://schemas.openxmlformats.org/officeDocument/2006/relationships" name="Top_10_Longest_Cases" sheetId="7" state="visible" r:id="rId7"/>
    <sheet xmlns:r="http://schemas.openxmlformats.org/officeDocument/2006/relationships" name="What_If_Scenarios" sheetId="8" state="visible" r:id="rId8"/>
    <sheet xmlns:r="http://schemas.openxmlformats.org/officeDocument/2006/relationships" name="Recruitment Dashboard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₹#,##0"/>
    <numFmt numFmtId="167" formatCode="0.0%"/>
    <numFmt numFmtId="168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504D"/>
      </patternFill>
    </fill>
    <fill>
      <patternFill patternType="solid">
        <fgColor rgb="0024242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168" fontId="0" fillId="0" borderId="0" pivotButton="0" quotePrefix="0" xfId="0"/>
    <xf numFmtId="17" fontId="0" fillId="0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horizontal="center"/>
    </xf>
    <xf numFmtId="1" fontId="3" fillId="5" borderId="0" applyAlignment="1" pivotButton="0" quotePrefix="0" xfId="0">
      <alignment horizontal="center"/>
    </xf>
    <xf numFmtId="167" fontId="3" fillId="5" borderId="0" applyAlignment="1" pivotButton="0" quotePrefix="0" xfId="0">
      <alignment horizontal="center"/>
    </xf>
    <xf numFmtId="168" fontId="3" fillId="5" borderId="0" applyAlignment="1" pivotButton="0" quotePrefix="0" xfId="0">
      <alignment horizontal="center"/>
    </xf>
    <xf numFmtId="166" fontId="3" fillId="5" borderId="0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Recruitment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'Funnel_Summary'!$A$2:$A$6</f>
            </numRef>
          </cat>
          <val>
            <numRef>
              <f>'Funnel_Summary'!$B$2:$B$6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Drop-Off %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'Funnel_Summary'!$A$2:$A$6</f>
            </numRef>
          </cat>
          <val>
            <numRef>
              <f>'Funnel_Summary'!$D$2:$D$6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Hires by Source</a:t>
            </a:r>
          </a:p>
        </rich>
      </tx>
    </title>
    <plotArea>
      <pieChart>
        <varyColors val="1"/>
        <ser>
          <idx val="0"/>
          <order val="0"/>
          <tx>
            <strRef>
              <f>'Source_Effectiveness'!C1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'Source_Effectiveness'!$A$2:$A$5</f>
            </numRef>
          </cat>
          <val>
            <numRef>
              <f>'Source_Effectiveness'!$C$2:$C$5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Time-to-Hire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'Monthly_Trend'!$A$2:$A$13</f>
            </numRef>
          </cat>
          <val>
            <numRef>
              <f>'Monthly_Trend'!$C$2:$C$13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Cost-per-Hire by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'Source_Effectiveness'!F1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'Source_Effectiveness'!$A$2:$A$5</f>
            </numRef>
          </cat>
          <val>
            <numRef>
              <f>'Source_Effectiveness'!$F$2:$F$5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%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'Department_Analysis'!D1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'Department_Analysis'!$A$2:$A$7</f>
            </numRef>
          </cat>
          <val>
            <numRef>
              <f>'Department_Analysis'!$D$2:$D$7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20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36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36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36</row>
      <rowOff>0</rowOff>
    </from>
    <ext cx="324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cruitmentData" displayName="RecruitmentData" ref="A1:N241" headerRowCount="1">
  <autoFilter ref="A1:N241"/>
  <tableColumns count="14">
    <tableColumn id="1" name="Candidate_ID"/>
    <tableColumn id="2" name="Source"/>
    <tableColumn id="3" name="Department"/>
    <tableColumn id="4" name="Role"/>
    <tableColumn id="5" name="Applied_Date"/>
    <tableColumn id="6" name="Stage"/>
    <tableColumn id="7" name="Stage_Entry_Date"/>
    <tableColumn id="8" name="Stage_Exit_Date"/>
    <tableColumn id="9" name="Hiring_Cost_INR"/>
    <tableColumn id="10" name="Final_Status"/>
    <tableColumn id="11" name="Stage_Duration_Days"/>
    <tableColumn id="12" name="Time_to_Hire_Days"/>
    <tableColumn id="13" name="Hired_Flag"/>
    <tableColumn id="14" name="Offer_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8" customWidth="1" min="4" max="4"/>
    <col width="14" customWidth="1" min="5" max="5"/>
    <col width="16" customWidth="1" min="6" max="6"/>
    <col width="18" customWidth="1" min="7" max="7"/>
    <col width="18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</cols>
  <sheetData>
    <row r="1">
      <c r="A1" s="1" t="inlineStr">
        <is>
          <t>Candidate_ID</t>
        </is>
      </c>
      <c r="B1" s="1" t="inlineStr">
        <is>
          <t>Source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Applied_Date</t>
        </is>
      </c>
      <c r="F1" s="1" t="inlineStr">
        <is>
          <t>Stage</t>
        </is>
      </c>
      <c r="G1" s="1" t="inlineStr">
        <is>
          <t>Stage_Entry_Date</t>
        </is>
      </c>
      <c r="H1" s="1" t="inlineStr">
        <is>
          <t>Stage_Exit_Date</t>
        </is>
      </c>
      <c r="I1" s="1" t="inlineStr">
        <is>
          <t>Hiring_Cost_INR</t>
        </is>
      </c>
      <c r="J1" s="1" t="inlineStr">
        <is>
          <t>Final_Status</t>
        </is>
      </c>
      <c r="K1" s="1" t="inlineStr">
        <is>
          <t>Stage_Duration_Days</t>
        </is>
      </c>
      <c r="L1" s="1" t="inlineStr">
        <is>
          <t>Time_to_Hire_Days</t>
        </is>
      </c>
      <c r="M1" s="1" t="inlineStr">
        <is>
          <t>Hired_Flag</t>
        </is>
      </c>
      <c r="N1" s="1" t="inlineStr">
        <is>
          <t>Offer_Flag</t>
        </is>
      </c>
    </row>
    <row r="2">
      <c r="A2" t="inlineStr">
        <is>
          <t>CAND1001</t>
        </is>
      </c>
      <c r="B2" t="inlineStr">
        <is>
          <t>Campus</t>
        </is>
      </c>
      <c r="C2" t="inlineStr">
        <is>
          <t>IT</t>
        </is>
      </c>
      <c r="D2" t="inlineStr">
        <is>
          <t>IT Analyst</t>
        </is>
      </c>
      <c r="E2" s="2" t="n">
        <v>45803</v>
      </c>
      <c r="F2" t="inlineStr">
        <is>
          <t>Interviewed</t>
        </is>
      </c>
      <c r="G2" s="2" t="n">
        <v>45808</v>
      </c>
      <c r="H2" s="2" t="n">
        <v>45812</v>
      </c>
      <c r="I2" s="3" t="n">
        <v>4411</v>
      </c>
      <c r="J2" t="inlineStr">
        <is>
          <t>Rejected</t>
        </is>
      </c>
      <c r="K2">
        <f>H2-G2</f>
        <v/>
      </c>
      <c r="L2" t="n">
        <v/>
      </c>
      <c r="M2" t="n">
        <v>0</v>
      </c>
      <c r="N2" t="n">
        <v>0</v>
      </c>
    </row>
    <row r="3">
      <c r="A3" t="inlineStr">
        <is>
          <t>CAND1002</t>
        </is>
      </c>
      <c r="B3" t="inlineStr">
        <is>
          <t>Referral</t>
        </is>
      </c>
      <c r="C3" t="inlineStr">
        <is>
          <t>HR</t>
        </is>
      </c>
      <c r="D3" t="inlineStr">
        <is>
          <t>HR Analyst</t>
        </is>
      </c>
      <c r="E3" s="2" t="n">
        <v>45821</v>
      </c>
      <c r="F3" t="inlineStr">
        <is>
          <t>Rejected</t>
        </is>
      </c>
      <c r="G3" s="2" t="n">
        <v>45823</v>
      </c>
      <c r="H3" s="2" t="n">
        <v>45830</v>
      </c>
      <c r="I3" s="3" t="n">
        <v>4491</v>
      </c>
      <c r="J3" t="inlineStr">
        <is>
          <t>Rejected</t>
        </is>
      </c>
      <c r="K3">
        <f>H3-G3</f>
        <v/>
      </c>
      <c r="L3" t="n">
        <v/>
      </c>
      <c r="M3" t="n">
        <v>0</v>
      </c>
      <c r="N3" t="n">
        <v>0</v>
      </c>
    </row>
    <row r="4">
      <c r="A4" t="inlineStr">
        <is>
          <t>CAND1003</t>
        </is>
      </c>
      <c r="B4" t="inlineStr">
        <is>
          <t>Referral</t>
        </is>
      </c>
      <c r="C4" t="inlineStr">
        <is>
          <t>Operations</t>
        </is>
      </c>
      <c r="D4" t="inlineStr">
        <is>
          <t>Operations Manager</t>
        </is>
      </c>
      <c r="E4" s="2" t="n">
        <v>46011</v>
      </c>
      <c r="F4" t="inlineStr">
        <is>
          <t>Interviewed</t>
        </is>
      </c>
      <c r="G4" s="2" t="n">
        <v>46016</v>
      </c>
      <c r="H4" s="2" t="n">
        <v>46017</v>
      </c>
      <c r="I4" s="3" t="n">
        <v>10918</v>
      </c>
      <c r="J4" t="inlineStr">
        <is>
          <t>Rejected</t>
        </is>
      </c>
      <c r="K4">
        <f>H4-G4</f>
        <v/>
      </c>
      <c r="L4" t="n">
        <v/>
      </c>
      <c r="M4" t="n">
        <v>0</v>
      </c>
      <c r="N4" t="n">
        <v>0</v>
      </c>
    </row>
    <row r="5">
      <c r="A5" t="inlineStr">
        <is>
          <t>CAND1004</t>
        </is>
      </c>
      <c r="B5" t="inlineStr">
        <is>
          <t>Campus</t>
        </is>
      </c>
      <c r="C5" t="inlineStr">
        <is>
          <t>Finance</t>
        </is>
      </c>
      <c r="D5" t="inlineStr">
        <is>
          <t>Finance Executive</t>
        </is>
      </c>
      <c r="E5" s="2" t="n">
        <v>45979</v>
      </c>
      <c r="F5" t="inlineStr">
        <is>
          <t>Interviewed</t>
        </is>
      </c>
      <c r="G5" s="2" t="n">
        <v>45984</v>
      </c>
      <c r="H5" s="2" t="n">
        <v>45987</v>
      </c>
      <c r="I5" s="3" t="n">
        <v>6956</v>
      </c>
      <c r="J5" t="inlineStr">
        <is>
          <t>Rejected</t>
        </is>
      </c>
      <c r="K5">
        <f>H5-G5</f>
        <v/>
      </c>
      <c r="L5" t="n">
        <v/>
      </c>
      <c r="M5" t="n">
        <v>0</v>
      </c>
      <c r="N5" t="n">
        <v>0</v>
      </c>
    </row>
    <row r="6">
      <c r="A6" t="inlineStr">
        <is>
          <t>CAND1005</t>
        </is>
      </c>
      <c r="B6" t="inlineStr">
        <is>
          <t>Referral</t>
        </is>
      </c>
      <c r="C6" t="inlineStr">
        <is>
          <t>Marketing</t>
        </is>
      </c>
      <c r="D6" t="inlineStr">
        <is>
          <t>Marketing Manager</t>
        </is>
      </c>
      <c r="E6" s="2" t="n">
        <v>45765</v>
      </c>
      <c r="F6" t="inlineStr">
        <is>
          <t>Screened</t>
        </is>
      </c>
      <c r="G6" s="2" t="n">
        <v>45775</v>
      </c>
      <c r="H6" s="2" t="n">
        <v>45782</v>
      </c>
      <c r="I6" s="3" t="n">
        <v>22222</v>
      </c>
      <c r="J6" t="inlineStr">
        <is>
          <t>Rejected</t>
        </is>
      </c>
      <c r="K6">
        <f>H6-G6</f>
        <v/>
      </c>
      <c r="L6" t="n">
        <v/>
      </c>
      <c r="M6" t="n">
        <v>0</v>
      </c>
      <c r="N6" t="n">
        <v>0</v>
      </c>
    </row>
    <row r="7">
      <c r="A7" t="inlineStr">
        <is>
          <t>CAND1006</t>
        </is>
      </c>
      <c r="B7" t="inlineStr">
        <is>
          <t>LinkedIn</t>
        </is>
      </c>
      <c r="C7" t="inlineStr">
        <is>
          <t>Marketing</t>
        </is>
      </c>
      <c r="D7" t="inlineStr">
        <is>
          <t>Marketing Executive</t>
        </is>
      </c>
      <c r="E7" s="2" t="n">
        <v>45849</v>
      </c>
      <c r="F7" t="inlineStr">
        <is>
          <t>Interviewed</t>
        </is>
      </c>
      <c r="G7" s="2" t="n">
        <v>45858</v>
      </c>
      <c r="H7" s="2" t="n">
        <v>45861</v>
      </c>
      <c r="I7" s="3" t="n">
        <v>17399</v>
      </c>
      <c r="J7" t="inlineStr">
        <is>
          <t>Rejected</t>
        </is>
      </c>
      <c r="K7">
        <f>H7-G7</f>
        <v/>
      </c>
      <c r="L7" t="n">
        <v/>
      </c>
      <c r="M7" t="n">
        <v>0</v>
      </c>
      <c r="N7" t="n">
        <v>0</v>
      </c>
    </row>
    <row r="8">
      <c r="A8" t="inlineStr">
        <is>
          <t>CAND1007</t>
        </is>
      </c>
      <c r="B8" t="inlineStr">
        <is>
          <t>Campus</t>
        </is>
      </c>
      <c r="C8" t="inlineStr">
        <is>
          <t>HR</t>
        </is>
      </c>
      <c r="D8" t="inlineStr">
        <is>
          <t>HR Analyst</t>
        </is>
      </c>
      <c r="E8" s="2" t="n">
        <v>45946</v>
      </c>
      <c r="F8" t="inlineStr">
        <is>
          <t>Rejected</t>
        </is>
      </c>
      <c r="G8" s="2" t="n">
        <v>45950</v>
      </c>
      <c r="H8" s="2" t="n">
        <v>45951</v>
      </c>
      <c r="I8" s="3" t="n">
        <v>7620</v>
      </c>
      <c r="J8" t="inlineStr">
        <is>
          <t>Rejected</t>
        </is>
      </c>
      <c r="K8">
        <f>H8-G8</f>
        <v/>
      </c>
      <c r="L8" t="n">
        <v/>
      </c>
      <c r="M8" t="n">
        <v>0</v>
      </c>
      <c r="N8" t="n">
        <v>0</v>
      </c>
    </row>
    <row r="9">
      <c r="A9" t="inlineStr">
        <is>
          <t>CAND1008</t>
        </is>
      </c>
      <c r="B9" t="inlineStr">
        <is>
          <t>Referral</t>
        </is>
      </c>
      <c r="C9" t="inlineStr">
        <is>
          <t>Sales</t>
        </is>
      </c>
      <c r="D9" t="inlineStr">
        <is>
          <t>Sales Manager</t>
        </is>
      </c>
      <c r="E9" s="2" t="n">
        <v>45753</v>
      </c>
      <c r="F9" t="inlineStr">
        <is>
          <t>Hired</t>
        </is>
      </c>
      <c r="G9" s="2" t="n">
        <v>45759</v>
      </c>
      <c r="H9" s="2" t="n">
        <v>45764</v>
      </c>
      <c r="I9" s="3" t="n">
        <v>36241</v>
      </c>
      <c r="J9" t="inlineStr">
        <is>
          <t>Hired</t>
        </is>
      </c>
      <c r="K9">
        <f>H9-G9</f>
        <v/>
      </c>
      <c r="L9" t="n">
        <v>11</v>
      </c>
      <c r="M9" t="n">
        <v>1</v>
      </c>
      <c r="N9" t="n">
        <v>1</v>
      </c>
    </row>
    <row r="10">
      <c r="A10" t="inlineStr">
        <is>
          <t>CAND1009</t>
        </is>
      </c>
      <c r="B10" t="inlineStr">
        <is>
          <t>Referral</t>
        </is>
      </c>
      <c r="C10" t="inlineStr">
        <is>
          <t>Sales</t>
        </is>
      </c>
      <c r="D10" t="inlineStr">
        <is>
          <t>Sales Executive</t>
        </is>
      </c>
      <c r="E10" s="2" t="n">
        <v>45809</v>
      </c>
      <c r="F10" t="inlineStr">
        <is>
          <t>Rejected</t>
        </is>
      </c>
      <c r="G10" s="2" t="n">
        <v>45816</v>
      </c>
      <c r="H10" s="2" t="n">
        <v>45819</v>
      </c>
      <c r="I10" s="3" t="n">
        <v>18616</v>
      </c>
      <c r="J10" t="inlineStr">
        <is>
          <t>Rejected</t>
        </is>
      </c>
      <c r="K10">
        <f>H10-G10</f>
        <v/>
      </c>
      <c r="L10" t="n">
        <v/>
      </c>
      <c r="M10" t="n">
        <v>0</v>
      </c>
      <c r="N10" t="n">
        <v>0</v>
      </c>
    </row>
    <row r="11">
      <c r="A11" t="inlineStr">
        <is>
          <t>CAND1010</t>
        </is>
      </c>
      <c r="B11" t="inlineStr">
        <is>
          <t>Job Portal</t>
        </is>
      </c>
      <c r="C11" t="inlineStr">
        <is>
          <t>Operations</t>
        </is>
      </c>
      <c r="D11" t="inlineStr">
        <is>
          <t>Operations Manager</t>
        </is>
      </c>
      <c r="E11" s="2" t="n">
        <v>45903</v>
      </c>
      <c r="F11" t="inlineStr">
        <is>
          <t>Rejected</t>
        </is>
      </c>
      <c r="G11" s="2" t="n">
        <v>45909</v>
      </c>
      <c r="H11" s="2" t="n">
        <v>45911</v>
      </c>
      <c r="I11" s="3" t="n">
        <v>19881</v>
      </c>
      <c r="J11" t="inlineStr">
        <is>
          <t>Rejected</t>
        </is>
      </c>
      <c r="K11">
        <f>H11-G11</f>
        <v/>
      </c>
      <c r="L11" t="n">
        <v/>
      </c>
      <c r="M11" t="n">
        <v>0</v>
      </c>
      <c r="N11" t="n">
        <v>0</v>
      </c>
    </row>
    <row r="12">
      <c r="A12" t="inlineStr">
        <is>
          <t>CAND1011</t>
        </is>
      </c>
      <c r="B12" t="inlineStr">
        <is>
          <t>Campus</t>
        </is>
      </c>
      <c r="C12" t="inlineStr">
        <is>
          <t>Operations</t>
        </is>
      </c>
      <c r="D12" t="inlineStr">
        <is>
          <t>Operations Analyst</t>
        </is>
      </c>
      <c r="E12" s="2" t="n">
        <v>46011</v>
      </c>
      <c r="F12" t="inlineStr">
        <is>
          <t>Rejected</t>
        </is>
      </c>
      <c r="G12" s="2" t="n">
        <v>46017</v>
      </c>
      <c r="H12" s="2" t="n">
        <v>46020</v>
      </c>
      <c r="I12" s="3" t="n">
        <v>17062</v>
      </c>
      <c r="J12" t="inlineStr">
        <is>
          <t>Rejected</t>
        </is>
      </c>
      <c r="K12">
        <f>H12-G12</f>
        <v/>
      </c>
      <c r="L12" t="n">
        <v/>
      </c>
      <c r="M12" t="n">
        <v>0</v>
      </c>
      <c r="N12" t="n">
        <v>0</v>
      </c>
    </row>
    <row r="13">
      <c r="A13" t="inlineStr">
        <is>
          <t>CAND1012</t>
        </is>
      </c>
      <c r="B13" t="inlineStr">
        <is>
          <t>Job Portal</t>
        </is>
      </c>
      <c r="C13" t="inlineStr">
        <is>
          <t>HR</t>
        </is>
      </c>
      <c r="D13" t="inlineStr">
        <is>
          <t>HR Analyst</t>
        </is>
      </c>
      <c r="E13" s="2" t="n">
        <v>45787</v>
      </c>
      <c r="F13" t="inlineStr">
        <is>
          <t>Hired</t>
        </is>
      </c>
      <c r="G13" s="2" t="n">
        <v>45790</v>
      </c>
      <c r="H13" s="2" t="n">
        <v>45793</v>
      </c>
      <c r="I13" s="3" t="n">
        <v>39092</v>
      </c>
      <c r="J13" t="inlineStr">
        <is>
          <t>Hired</t>
        </is>
      </c>
      <c r="K13">
        <f>H13-G13</f>
        <v/>
      </c>
      <c r="L13" t="n">
        <v>6</v>
      </c>
      <c r="M13" t="n">
        <v>1</v>
      </c>
      <c r="N13" t="n">
        <v>1</v>
      </c>
    </row>
    <row r="14">
      <c r="A14" t="inlineStr">
        <is>
          <t>CAND1013</t>
        </is>
      </c>
      <c r="B14" t="inlineStr">
        <is>
          <t>Job Portal</t>
        </is>
      </c>
      <c r="C14" t="inlineStr">
        <is>
          <t>Marketing</t>
        </is>
      </c>
      <c r="D14" t="inlineStr">
        <is>
          <t>Marketing Executive</t>
        </is>
      </c>
      <c r="E14" s="2" t="n">
        <v>45904</v>
      </c>
      <c r="F14" t="inlineStr">
        <is>
          <t>Screened</t>
        </is>
      </c>
      <c r="G14" s="2" t="n">
        <v>45907</v>
      </c>
      <c r="H14" s="2" t="n">
        <v>45914</v>
      </c>
      <c r="I14" s="3" t="n">
        <v>10116</v>
      </c>
      <c r="J14" t="inlineStr">
        <is>
          <t>Rejected</t>
        </is>
      </c>
      <c r="K14">
        <f>H14-G14</f>
        <v/>
      </c>
      <c r="L14" t="n">
        <v/>
      </c>
      <c r="M14" t="n">
        <v>0</v>
      </c>
      <c r="N14" t="n">
        <v>0</v>
      </c>
    </row>
    <row r="15">
      <c r="A15" t="inlineStr">
        <is>
          <t>CAND1014</t>
        </is>
      </c>
      <c r="B15" t="inlineStr">
        <is>
          <t>Job Portal</t>
        </is>
      </c>
      <c r="C15" t="inlineStr">
        <is>
          <t>Sales</t>
        </is>
      </c>
      <c r="D15" t="inlineStr">
        <is>
          <t>Sales Analyst</t>
        </is>
      </c>
      <c r="E15" s="2" t="n">
        <v>45754</v>
      </c>
      <c r="F15" t="inlineStr">
        <is>
          <t>Hired</t>
        </is>
      </c>
      <c r="G15" s="2" t="n">
        <v>45756</v>
      </c>
      <c r="H15" s="2" t="n">
        <v>45757</v>
      </c>
      <c r="I15" s="3" t="n">
        <v>25541</v>
      </c>
      <c r="J15" t="inlineStr">
        <is>
          <t>Hired</t>
        </is>
      </c>
      <c r="K15">
        <f>H15-G15</f>
        <v/>
      </c>
      <c r="L15" t="n">
        <v>3</v>
      </c>
      <c r="M15" t="n">
        <v>1</v>
      </c>
      <c r="N15" t="n">
        <v>1</v>
      </c>
    </row>
    <row r="16">
      <c r="A16" t="inlineStr">
        <is>
          <t>CAND1015</t>
        </is>
      </c>
      <c r="B16" t="inlineStr">
        <is>
          <t>Referral</t>
        </is>
      </c>
      <c r="C16" t="inlineStr">
        <is>
          <t>Sales</t>
        </is>
      </c>
      <c r="D16" t="inlineStr">
        <is>
          <t>Sales Manager</t>
        </is>
      </c>
      <c r="E16" s="2" t="n">
        <v>45913</v>
      </c>
      <c r="F16" t="inlineStr">
        <is>
          <t>Rejected</t>
        </is>
      </c>
      <c r="G16" s="2" t="n">
        <v>45920</v>
      </c>
      <c r="H16" s="2" t="n">
        <v>45921</v>
      </c>
      <c r="I16" s="3" t="n">
        <v>19953</v>
      </c>
      <c r="J16" t="inlineStr">
        <is>
          <t>Rejected</t>
        </is>
      </c>
      <c r="K16">
        <f>H16-G16</f>
        <v/>
      </c>
      <c r="L16" t="n">
        <v/>
      </c>
      <c r="M16" t="n">
        <v>0</v>
      </c>
      <c r="N16" t="n">
        <v>0</v>
      </c>
    </row>
    <row r="17">
      <c r="A17" t="inlineStr">
        <is>
          <t>CAND1016</t>
        </is>
      </c>
      <c r="B17" t="inlineStr">
        <is>
          <t>LinkedIn</t>
        </is>
      </c>
      <c r="C17" t="inlineStr">
        <is>
          <t>Marketing</t>
        </is>
      </c>
      <c r="D17" t="inlineStr">
        <is>
          <t>Marketing Manager</t>
        </is>
      </c>
      <c r="E17" s="2" t="n">
        <v>45759</v>
      </c>
      <c r="F17" t="inlineStr">
        <is>
          <t>Rejected</t>
        </is>
      </c>
      <c r="G17" s="2" t="n">
        <v>45762</v>
      </c>
      <c r="H17" s="2" t="n">
        <v>45763</v>
      </c>
      <c r="I17" s="3" t="n">
        <v>22611</v>
      </c>
      <c r="J17" t="inlineStr">
        <is>
          <t>Rejected</t>
        </is>
      </c>
      <c r="K17">
        <f>H17-G17</f>
        <v/>
      </c>
      <c r="L17" t="n">
        <v/>
      </c>
      <c r="M17" t="n">
        <v>0</v>
      </c>
      <c r="N17" t="n">
        <v>0</v>
      </c>
    </row>
    <row r="18">
      <c r="A18" t="inlineStr">
        <is>
          <t>CAND1017</t>
        </is>
      </c>
      <c r="B18" t="inlineStr">
        <is>
          <t>Campus</t>
        </is>
      </c>
      <c r="C18" t="inlineStr">
        <is>
          <t>Operations</t>
        </is>
      </c>
      <c r="D18" t="inlineStr">
        <is>
          <t>Operations Manager</t>
        </is>
      </c>
      <c r="E18" s="2" t="n">
        <v>45883</v>
      </c>
      <c r="F18" t="inlineStr">
        <is>
          <t>Screened</t>
        </is>
      </c>
      <c r="G18" s="2" t="n">
        <v>45887</v>
      </c>
      <c r="H18" s="2" t="n">
        <v>45889</v>
      </c>
      <c r="I18" s="3" t="n">
        <v>17103</v>
      </c>
      <c r="J18" t="inlineStr">
        <is>
          <t>Rejected</t>
        </is>
      </c>
      <c r="K18">
        <f>H18-G18</f>
        <v/>
      </c>
      <c r="L18" t="n">
        <v/>
      </c>
      <c r="M18" t="n">
        <v>0</v>
      </c>
      <c r="N18" t="n">
        <v>0</v>
      </c>
    </row>
    <row r="19">
      <c r="A19" t="inlineStr">
        <is>
          <t>CAND1018</t>
        </is>
      </c>
      <c r="B19" t="inlineStr">
        <is>
          <t>Referral</t>
        </is>
      </c>
      <c r="C19" t="inlineStr">
        <is>
          <t>HR</t>
        </is>
      </c>
      <c r="D19" t="inlineStr">
        <is>
          <t>HR Analyst</t>
        </is>
      </c>
      <c r="E19" s="2" t="n">
        <v>45731</v>
      </c>
      <c r="F19" t="inlineStr">
        <is>
          <t>Offered</t>
        </is>
      </c>
      <c r="G19" s="2" t="n">
        <v>45740</v>
      </c>
      <c r="H19" s="2" t="n">
        <v>45746</v>
      </c>
      <c r="I19" s="3" t="n">
        <v>10076</v>
      </c>
      <c r="J19" t="inlineStr">
        <is>
          <t>Rejected</t>
        </is>
      </c>
      <c r="K19">
        <f>H19-G19</f>
        <v/>
      </c>
      <c r="L19" t="n">
        <v/>
      </c>
      <c r="M19" t="n">
        <v>0</v>
      </c>
      <c r="N19" t="n">
        <v>1</v>
      </c>
    </row>
    <row r="20">
      <c r="A20" t="inlineStr">
        <is>
          <t>CAND1019</t>
        </is>
      </c>
      <c r="B20" t="inlineStr">
        <is>
          <t>LinkedIn</t>
        </is>
      </c>
      <c r="C20" t="inlineStr">
        <is>
          <t>Marketing</t>
        </is>
      </c>
      <c r="D20" t="inlineStr">
        <is>
          <t>Marketing Executive</t>
        </is>
      </c>
      <c r="E20" s="2" t="n">
        <v>45898</v>
      </c>
      <c r="F20" t="inlineStr">
        <is>
          <t>Interviewed</t>
        </is>
      </c>
      <c r="G20" s="2" t="n">
        <v>45900</v>
      </c>
      <c r="H20" s="2" t="n">
        <v>45902</v>
      </c>
      <c r="I20" s="3" t="n">
        <v>7905</v>
      </c>
      <c r="J20" t="inlineStr">
        <is>
          <t>Rejected</t>
        </is>
      </c>
      <c r="K20">
        <f>H20-G20</f>
        <v/>
      </c>
      <c r="L20" t="n">
        <v/>
      </c>
      <c r="M20" t="n">
        <v>0</v>
      </c>
      <c r="N20" t="n">
        <v>0</v>
      </c>
    </row>
    <row r="21">
      <c r="A21" t="inlineStr">
        <is>
          <t>CAND1020</t>
        </is>
      </c>
      <c r="B21" t="inlineStr">
        <is>
          <t>LinkedIn</t>
        </is>
      </c>
      <c r="C21" t="inlineStr">
        <is>
          <t>HR</t>
        </is>
      </c>
      <c r="D21" t="inlineStr">
        <is>
          <t>HR Executive</t>
        </is>
      </c>
      <c r="E21" s="2" t="n">
        <v>45832</v>
      </c>
      <c r="F21" t="inlineStr">
        <is>
          <t>Rejected</t>
        </is>
      </c>
      <c r="G21" s="2" t="n">
        <v>45835</v>
      </c>
      <c r="H21" s="2" t="n">
        <v>45842</v>
      </c>
      <c r="I21" s="3" t="n">
        <v>7033</v>
      </c>
      <c r="J21" t="inlineStr">
        <is>
          <t>Rejected</t>
        </is>
      </c>
      <c r="K21">
        <f>H21-G21</f>
        <v/>
      </c>
      <c r="L21" t="n">
        <v/>
      </c>
      <c r="M21" t="n">
        <v>0</v>
      </c>
      <c r="N21" t="n">
        <v>0</v>
      </c>
    </row>
    <row r="22">
      <c r="A22" t="inlineStr">
        <is>
          <t>CAND1021</t>
        </is>
      </c>
      <c r="B22" t="inlineStr">
        <is>
          <t>Job Portal</t>
        </is>
      </c>
      <c r="C22" t="inlineStr">
        <is>
          <t>IT</t>
        </is>
      </c>
      <c r="D22" t="inlineStr">
        <is>
          <t>IT Analyst</t>
        </is>
      </c>
      <c r="E22" s="2" t="n">
        <v>45923</v>
      </c>
      <c r="F22" t="inlineStr">
        <is>
          <t>Screened</t>
        </is>
      </c>
      <c r="G22" s="2" t="n">
        <v>45925</v>
      </c>
      <c r="H22" s="2" t="n">
        <v>45928</v>
      </c>
      <c r="I22" s="3" t="n">
        <v>18625</v>
      </c>
      <c r="J22" t="inlineStr">
        <is>
          <t>Rejected</t>
        </is>
      </c>
      <c r="K22">
        <f>H22-G22</f>
        <v/>
      </c>
      <c r="L22" t="n">
        <v/>
      </c>
      <c r="M22" t="n">
        <v>0</v>
      </c>
      <c r="N22" t="n">
        <v>0</v>
      </c>
    </row>
    <row r="23">
      <c r="A23" t="inlineStr">
        <is>
          <t>CAND1022</t>
        </is>
      </c>
      <c r="B23" t="inlineStr">
        <is>
          <t>Campus</t>
        </is>
      </c>
      <c r="C23" t="inlineStr">
        <is>
          <t>Sales</t>
        </is>
      </c>
      <c r="D23" t="inlineStr">
        <is>
          <t>Sales Analyst</t>
        </is>
      </c>
      <c r="E23" s="2" t="n">
        <v>45670</v>
      </c>
      <c r="F23" t="inlineStr">
        <is>
          <t>Rejected</t>
        </is>
      </c>
      <c r="G23" s="2" t="n">
        <v>45673</v>
      </c>
      <c r="H23" s="2" t="n">
        <v>45674</v>
      </c>
      <c r="I23" s="3" t="n">
        <v>22070</v>
      </c>
      <c r="J23" t="inlineStr">
        <is>
          <t>Rejected</t>
        </is>
      </c>
      <c r="K23">
        <f>H23-G23</f>
        <v/>
      </c>
      <c r="L23" t="n">
        <v/>
      </c>
      <c r="M23" t="n">
        <v>0</v>
      </c>
      <c r="N23" t="n">
        <v>0</v>
      </c>
    </row>
    <row r="24">
      <c r="A24" t="inlineStr">
        <is>
          <t>CAND1023</t>
        </is>
      </c>
      <c r="B24" t="inlineStr">
        <is>
          <t>Job Portal</t>
        </is>
      </c>
      <c r="C24" t="inlineStr">
        <is>
          <t>Marketing</t>
        </is>
      </c>
      <c r="D24" t="inlineStr">
        <is>
          <t>Marketing Analyst</t>
        </is>
      </c>
      <c r="E24" s="2" t="n">
        <v>45983</v>
      </c>
      <c r="F24" t="inlineStr">
        <is>
          <t>Offered</t>
        </is>
      </c>
      <c r="G24" s="2" t="n">
        <v>45987</v>
      </c>
      <c r="H24" s="2" t="n">
        <v>45991</v>
      </c>
      <c r="I24" s="3" t="n">
        <v>7972</v>
      </c>
      <c r="J24" t="inlineStr">
        <is>
          <t>Rejected</t>
        </is>
      </c>
      <c r="K24">
        <f>H24-G24</f>
        <v/>
      </c>
      <c r="L24" t="n">
        <v/>
      </c>
      <c r="M24" t="n">
        <v>0</v>
      </c>
      <c r="N24" t="n">
        <v>1</v>
      </c>
    </row>
    <row r="25">
      <c r="A25" t="inlineStr">
        <is>
          <t>CAND1024</t>
        </is>
      </c>
      <c r="B25" t="inlineStr">
        <is>
          <t>Job Portal</t>
        </is>
      </c>
      <c r="C25" t="inlineStr">
        <is>
          <t>HR</t>
        </is>
      </c>
      <c r="D25" t="inlineStr">
        <is>
          <t>HR Manager</t>
        </is>
      </c>
      <c r="E25" s="2" t="n">
        <v>45947</v>
      </c>
      <c r="F25" t="inlineStr">
        <is>
          <t>Rejected</t>
        </is>
      </c>
      <c r="G25" s="2" t="n">
        <v>45956</v>
      </c>
      <c r="H25" s="2" t="n">
        <v>45959</v>
      </c>
      <c r="I25" s="3" t="n">
        <v>7843</v>
      </c>
      <c r="J25" t="inlineStr">
        <is>
          <t>Rejected</t>
        </is>
      </c>
      <c r="K25">
        <f>H25-G25</f>
        <v/>
      </c>
      <c r="L25" t="n">
        <v/>
      </c>
      <c r="M25" t="n">
        <v>0</v>
      </c>
      <c r="N25" t="n">
        <v>0</v>
      </c>
    </row>
    <row r="26">
      <c r="A26" t="inlineStr">
        <is>
          <t>CAND1025</t>
        </is>
      </c>
      <c r="B26" t="inlineStr">
        <is>
          <t>Job Portal</t>
        </is>
      </c>
      <c r="C26" t="inlineStr">
        <is>
          <t>HR</t>
        </is>
      </c>
      <c r="D26" t="inlineStr">
        <is>
          <t>HR Manager</t>
        </is>
      </c>
      <c r="E26" s="2" t="n">
        <v>45992</v>
      </c>
      <c r="F26" t="inlineStr">
        <is>
          <t>Screened</t>
        </is>
      </c>
      <c r="G26" s="2" t="n">
        <v>45996</v>
      </c>
      <c r="H26" s="2" t="n">
        <v>45998</v>
      </c>
      <c r="I26" s="3" t="n">
        <v>4550</v>
      </c>
      <c r="J26" t="inlineStr">
        <is>
          <t>Rejected</t>
        </is>
      </c>
      <c r="K26">
        <f>H26-G26</f>
        <v/>
      </c>
      <c r="L26" t="n">
        <v/>
      </c>
      <c r="M26" t="n">
        <v>0</v>
      </c>
      <c r="N26" t="n">
        <v>0</v>
      </c>
    </row>
    <row r="27">
      <c r="A27" t="inlineStr">
        <is>
          <t>CAND1026</t>
        </is>
      </c>
      <c r="B27" t="inlineStr">
        <is>
          <t>Referral</t>
        </is>
      </c>
      <c r="C27" t="inlineStr">
        <is>
          <t>Operations</t>
        </is>
      </c>
      <c r="D27" t="inlineStr">
        <is>
          <t>Operations Analyst</t>
        </is>
      </c>
      <c r="E27" s="2" t="n">
        <v>45684</v>
      </c>
      <c r="F27" t="inlineStr">
        <is>
          <t>Interviewed</t>
        </is>
      </c>
      <c r="G27" s="2" t="n">
        <v>45693</v>
      </c>
      <c r="H27" s="2" t="n">
        <v>45694</v>
      </c>
      <c r="I27" s="3" t="n">
        <v>20450</v>
      </c>
      <c r="J27" t="inlineStr">
        <is>
          <t>Rejected</t>
        </is>
      </c>
      <c r="K27">
        <f>H27-G27</f>
        <v/>
      </c>
      <c r="L27" t="n">
        <v/>
      </c>
      <c r="M27" t="n">
        <v>0</v>
      </c>
      <c r="N27" t="n">
        <v>0</v>
      </c>
    </row>
    <row r="28">
      <c r="A28" t="inlineStr">
        <is>
          <t>CAND1027</t>
        </is>
      </c>
      <c r="B28" t="inlineStr">
        <is>
          <t>Referral</t>
        </is>
      </c>
      <c r="C28" t="inlineStr">
        <is>
          <t>Operations</t>
        </is>
      </c>
      <c r="D28" t="inlineStr">
        <is>
          <t>Operations Executive</t>
        </is>
      </c>
      <c r="E28" s="2" t="n">
        <v>45806</v>
      </c>
      <c r="F28" t="inlineStr">
        <is>
          <t>Hired</t>
        </is>
      </c>
      <c r="G28" s="2" t="n">
        <v>45808</v>
      </c>
      <c r="H28" s="2" t="n">
        <v>45809</v>
      </c>
      <c r="I28" s="3" t="n">
        <v>33499</v>
      </c>
      <c r="J28" t="inlineStr">
        <is>
          <t>Hired</t>
        </is>
      </c>
      <c r="K28">
        <f>H28-G28</f>
        <v/>
      </c>
      <c r="L28" t="n">
        <v>3</v>
      </c>
      <c r="M28" t="n">
        <v>1</v>
      </c>
      <c r="N28" t="n">
        <v>1</v>
      </c>
    </row>
    <row r="29">
      <c r="A29" t="inlineStr">
        <is>
          <t>CAND1028</t>
        </is>
      </c>
      <c r="B29" t="inlineStr">
        <is>
          <t>Job Portal</t>
        </is>
      </c>
      <c r="C29" t="inlineStr">
        <is>
          <t>IT</t>
        </is>
      </c>
      <c r="D29" t="inlineStr">
        <is>
          <t>IT Analyst</t>
        </is>
      </c>
      <c r="E29" s="2" t="n">
        <v>45820</v>
      </c>
      <c r="F29" t="inlineStr">
        <is>
          <t>Screened</t>
        </is>
      </c>
      <c r="G29" s="2" t="n">
        <v>45830</v>
      </c>
      <c r="H29" s="2" t="n">
        <v>45832</v>
      </c>
      <c r="I29" s="3" t="n">
        <v>12531</v>
      </c>
      <c r="J29" t="inlineStr">
        <is>
          <t>Rejected</t>
        </is>
      </c>
      <c r="K29">
        <f>H29-G29</f>
        <v/>
      </c>
      <c r="L29" t="n">
        <v/>
      </c>
      <c r="M29" t="n">
        <v>0</v>
      </c>
      <c r="N29" t="n">
        <v>0</v>
      </c>
    </row>
    <row r="30">
      <c r="A30" t="inlineStr">
        <is>
          <t>CAND1029</t>
        </is>
      </c>
      <c r="B30" t="inlineStr">
        <is>
          <t>Referral</t>
        </is>
      </c>
      <c r="C30" t="inlineStr">
        <is>
          <t>Sales</t>
        </is>
      </c>
      <c r="D30" t="inlineStr">
        <is>
          <t>Sales Manager</t>
        </is>
      </c>
      <c r="E30" s="2" t="n">
        <v>45824</v>
      </c>
      <c r="F30" t="inlineStr">
        <is>
          <t>Interviewed</t>
        </is>
      </c>
      <c r="G30" s="2" t="n">
        <v>45830</v>
      </c>
      <c r="H30" s="2" t="n">
        <v>45837</v>
      </c>
      <c r="I30" s="3" t="n">
        <v>5105</v>
      </c>
      <c r="J30" t="inlineStr">
        <is>
          <t>Rejected</t>
        </is>
      </c>
      <c r="K30">
        <f>H30-G30</f>
        <v/>
      </c>
      <c r="L30" t="n">
        <v/>
      </c>
      <c r="M30" t="n">
        <v>0</v>
      </c>
      <c r="N30" t="n">
        <v>0</v>
      </c>
    </row>
    <row r="31">
      <c r="A31" t="inlineStr">
        <is>
          <t>CAND1030</t>
        </is>
      </c>
      <c r="B31" t="inlineStr">
        <is>
          <t>Referral</t>
        </is>
      </c>
      <c r="C31" t="inlineStr">
        <is>
          <t>IT</t>
        </is>
      </c>
      <c r="D31" t="inlineStr">
        <is>
          <t>IT Analyst</t>
        </is>
      </c>
      <c r="E31" s="2" t="n">
        <v>45709</v>
      </c>
      <c r="F31" t="inlineStr">
        <is>
          <t>Rejected</t>
        </is>
      </c>
      <c r="G31" s="2" t="n">
        <v>45714</v>
      </c>
      <c r="H31" s="2" t="n">
        <v>45716</v>
      </c>
      <c r="I31" s="3" t="n">
        <v>23483</v>
      </c>
      <c r="J31" t="inlineStr">
        <is>
          <t>Rejected</t>
        </is>
      </c>
      <c r="K31">
        <f>H31-G31</f>
        <v/>
      </c>
      <c r="L31" t="n">
        <v/>
      </c>
      <c r="M31" t="n">
        <v>0</v>
      </c>
      <c r="N31" t="n">
        <v>0</v>
      </c>
    </row>
    <row r="32">
      <c r="A32" t="inlineStr">
        <is>
          <t>CAND1031</t>
        </is>
      </c>
      <c r="B32" t="inlineStr">
        <is>
          <t>LinkedIn</t>
        </is>
      </c>
      <c r="C32" t="inlineStr">
        <is>
          <t>Finance</t>
        </is>
      </c>
      <c r="D32" t="inlineStr">
        <is>
          <t>Finance Analyst</t>
        </is>
      </c>
      <c r="E32" s="2" t="n">
        <v>45886</v>
      </c>
      <c r="F32" t="inlineStr">
        <is>
          <t>Hired</t>
        </is>
      </c>
      <c r="G32" s="2" t="n">
        <v>45896</v>
      </c>
      <c r="H32" s="2" t="n">
        <v>45897</v>
      </c>
      <c r="I32" s="3" t="n">
        <v>22568</v>
      </c>
      <c r="J32" t="inlineStr">
        <is>
          <t>Hired</t>
        </is>
      </c>
      <c r="K32">
        <f>H32-G32</f>
        <v/>
      </c>
      <c r="L32" t="n">
        <v>11</v>
      </c>
      <c r="M32" t="n">
        <v>1</v>
      </c>
      <c r="N32" t="n">
        <v>1</v>
      </c>
    </row>
    <row r="33">
      <c r="A33" t="inlineStr">
        <is>
          <t>CAND1032</t>
        </is>
      </c>
      <c r="B33" t="inlineStr">
        <is>
          <t>LinkedIn</t>
        </is>
      </c>
      <c r="C33" t="inlineStr">
        <is>
          <t>IT</t>
        </is>
      </c>
      <c r="D33" t="inlineStr">
        <is>
          <t>IT Executive</t>
        </is>
      </c>
      <c r="E33" s="2" t="n">
        <v>45942</v>
      </c>
      <c r="F33" t="inlineStr">
        <is>
          <t>Rejected</t>
        </is>
      </c>
      <c r="G33" s="2" t="n">
        <v>45948</v>
      </c>
      <c r="H33" s="2" t="n">
        <v>45949</v>
      </c>
      <c r="I33" s="3" t="n">
        <v>7882</v>
      </c>
      <c r="J33" t="inlineStr">
        <is>
          <t>Rejected</t>
        </is>
      </c>
      <c r="K33">
        <f>H33-G33</f>
        <v/>
      </c>
      <c r="L33" t="n">
        <v/>
      </c>
      <c r="M33" t="n">
        <v>0</v>
      </c>
      <c r="N33" t="n">
        <v>0</v>
      </c>
    </row>
    <row r="34">
      <c r="A34" t="inlineStr">
        <is>
          <t>CAND1033</t>
        </is>
      </c>
      <c r="B34" t="inlineStr">
        <is>
          <t>LinkedIn</t>
        </is>
      </c>
      <c r="C34" t="inlineStr">
        <is>
          <t>IT</t>
        </is>
      </c>
      <c r="D34" t="inlineStr">
        <is>
          <t>IT Analyst</t>
        </is>
      </c>
      <c r="E34" s="2" t="n">
        <v>45909</v>
      </c>
      <c r="F34" t="inlineStr">
        <is>
          <t>Interviewed</t>
        </is>
      </c>
      <c r="G34" s="2" t="n">
        <v>45911</v>
      </c>
      <c r="H34" s="2" t="n">
        <v>45914</v>
      </c>
      <c r="I34" s="3" t="n">
        <v>23334</v>
      </c>
      <c r="J34" t="inlineStr">
        <is>
          <t>Rejected</t>
        </is>
      </c>
      <c r="K34">
        <f>H34-G34</f>
        <v/>
      </c>
      <c r="L34" t="n">
        <v/>
      </c>
      <c r="M34" t="n">
        <v>0</v>
      </c>
      <c r="N34" t="n">
        <v>0</v>
      </c>
    </row>
    <row r="35">
      <c r="A35" t="inlineStr">
        <is>
          <t>CAND1034</t>
        </is>
      </c>
      <c r="B35" t="inlineStr">
        <is>
          <t>Referral</t>
        </is>
      </c>
      <c r="C35" t="inlineStr">
        <is>
          <t>HR</t>
        </is>
      </c>
      <c r="D35" t="inlineStr">
        <is>
          <t>HR Analyst</t>
        </is>
      </c>
      <c r="E35" s="2" t="n">
        <v>45850</v>
      </c>
      <c r="F35" t="inlineStr">
        <is>
          <t>Screened</t>
        </is>
      </c>
      <c r="G35" s="2" t="n">
        <v>45857</v>
      </c>
      <c r="H35" s="2" t="n">
        <v>45858</v>
      </c>
      <c r="I35" s="3" t="n">
        <v>4339</v>
      </c>
      <c r="J35" t="inlineStr">
        <is>
          <t>Rejected</t>
        </is>
      </c>
      <c r="K35">
        <f>H35-G35</f>
        <v/>
      </c>
      <c r="L35" t="n">
        <v/>
      </c>
      <c r="M35" t="n">
        <v>0</v>
      </c>
      <c r="N35" t="n">
        <v>0</v>
      </c>
    </row>
    <row r="36">
      <c r="A36" t="inlineStr">
        <is>
          <t>CAND1035</t>
        </is>
      </c>
      <c r="B36" t="inlineStr">
        <is>
          <t>LinkedIn</t>
        </is>
      </c>
      <c r="C36" t="inlineStr">
        <is>
          <t>Sales</t>
        </is>
      </c>
      <c r="D36" t="inlineStr">
        <is>
          <t>Sales Analyst</t>
        </is>
      </c>
      <c r="E36" s="2" t="n">
        <v>45849</v>
      </c>
      <c r="F36" t="inlineStr">
        <is>
          <t>Hired</t>
        </is>
      </c>
      <c r="G36" s="2" t="n">
        <v>45855</v>
      </c>
      <c r="H36" s="2" t="n">
        <v>45856</v>
      </c>
      <c r="I36" s="3" t="n">
        <v>40054</v>
      </c>
      <c r="J36" t="inlineStr">
        <is>
          <t>Hired</t>
        </is>
      </c>
      <c r="K36">
        <f>H36-G36</f>
        <v/>
      </c>
      <c r="L36" t="n">
        <v>7</v>
      </c>
      <c r="M36" t="n">
        <v>1</v>
      </c>
      <c r="N36" t="n">
        <v>1</v>
      </c>
    </row>
    <row r="37">
      <c r="A37" t="inlineStr">
        <is>
          <t>CAND1036</t>
        </is>
      </c>
      <c r="B37" t="inlineStr">
        <is>
          <t>Job Portal</t>
        </is>
      </c>
      <c r="C37" t="inlineStr">
        <is>
          <t>Operations</t>
        </is>
      </c>
      <c r="D37" t="inlineStr">
        <is>
          <t>Operations Executive</t>
        </is>
      </c>
      <c r="E37" s="2" t="n">
        <v>46000</v>
      </c>
      <c r="F37" t="inlineStr">
        <is>
          <t>Interviewed</t>
        </is>
      </c>
      <c r="G37" s="2" t="n">
        <v>46004</v>
      </c>
      <c r="H37" s="2" t="n">
        <v>46011</v>
      </c>
      <c r="I37" s="3" t="n">
        <v>15547</v>
      </c>
      <c r="J37" t="inlineStr">
        <is>
          <t>Rejected</t>
        </is>
      </c>
      <c r="K37">
        <f>H37-G37</f>
        <v/>
      </c>
      <c r="L37" t="n">
        <v/>
      </c>
      <c r="M37" t="n">
        <v>0</v>
      </c>
      <c r="N37" t="n">
        <v>0</v>
      </c>
    </row>
    <row r="38">
      <c r="A38" t="inlineStr">
        <is>
          <t>CAND1037</t>
        </is>
      </c>
      <c r="B38" t="inlineStr">
        <is>
          <t>Campus</t>
        </is>
      </c>
      <c r="C38" t="inlineStr">
        <is>
          <t>Operations</t>
        </is>
      </c>
      <c r="D38" t="inlineStr">
        <is>
          <t>Operations Executive</t>
        </is>
      </c>
      <c r="E38" s="2" t="n">
        <v>45672</v>
      </c>
      <c r="F38" t="inlineStr">
        <is>
          <t>Rejected</t>
        </is>
      </c>
      <c r="G38" s="2" t="n">
        <v>45681</v>
      </c>
      <c r="H38" s="2" t="n">
        <v>45682</v>
      </c>
      <c r="I38" s="3" t="n">
        <v>15060</v>
      </c>
      <c r="J38" t="inlineStr">
        <is>
          <t>Rejected</t>
        </is>
      </c>
      <c r="K38">
        <f>H38-G38</f>
        <v/>
      </c>
      <c r="L38" t="n">
        <v/>
      </c>
      <c r="M38" t="n">
        <v>0</v>
      </c>
      <c r="N38" t="n">
        <v>0</v>
      </c>
    </row>
    <row r="39">
      <c r="A39" t="inlineStr">
        <is>
          <t>CAND1038</t>
        </is>
      </c>
      <c r="B39" t="inlineStr">
        <is>
          <t>Job Portal</t>
        </is>
      </c>
      <c r="C39" t="inlineStr">
        <is>
          <t>IT</t>
        </is>
      </c>
      <c r="D39" t="inlineStr">
        <is>
          <t>IT Analyst</t>
        </is>
      </c>
      <c r="E39" s="2" t="n">
        <v>45969</v>
      </c>
      <c r="F39" t="inlineStr">
        <is>
          <t>Hired</t>
        </is>
      </c>
      <c r="G39" s="2" t="n">
        <v>45975</v>
      </c>
      <c r="H39" s="2" t="n">
        <v>45981</v>
      </c>
      <c r="I39" s="3" t="n">
        <v>19505</v>
      </c>
      <c r="J39" t="inlineStr">
        <is>
          <t>Hired</t>
        </is>
      </c>
      <c r="K39">
        <f>H39-G39</f>
        <v/>
      </c>
      <c r="L39" t="n">
        <v>12</v>
      </c>
      <c r="M39" t="n">
        <v>1</v>
      </c>
      <c r="N39" t="n">
        <v>1</v>
      </c>
    </row>
    <row r="40">
      <c r="A40" t="inlineStr">
        <is>
          <t>CAND1039</t>
        </is>
      </c>
      <c r="B40" t="inlineStr">
        <is>
          <t>LinkedIn</t>
        </is>
      </c>
      <c r="C40" t="inlineStr">
        <is>
          <t>Finance</t>
        </is>
      </c>
      <c r="D40" t="inlineStr">
        <is>
          <t>Finance Executive</t>
        </is>
      </c>
      <c r="E40" s="2" t="n">
        <v>45808</v>
      </c>
      <c r="F40" t="inlineStr">
        <is>
          <t>Hired</t>
        </is>
      </c>
      <c r="G40" s="2" t="n">
        <v>45817</v>
      </c>
      <c r="H40" s="2" t="n">
        <v>45819</v>
      </c>
      <c r="I40" s="3" t="n">
        <v>22516</v>
      </c>
      <c r="J40" t="inlineStr">
        <is>
          <t>Hired</t>
        </is>
      </c>
      <c r="K40">
        <f>H40-G40</f>
        <v/>
      </c>
      <c r="L40" t="n">
        <v>11</v>
      </c>
      <c r="M40" t="n">
        <v>1</v>
      </c>
      <c r="N40" t="n">
        <v>1</v>
      </c>
    </row>
    <row r="41">
      <c r="A41" t="inlineStr">
        <is>
          <t>CAND1040</t>
        </is>
      </c>
      <c r="B41" t="inlineStr">
        <is>
          <t>Campus</t>
        </is>
      </c>
      <c r="C41" t="inlineStr">
        <is>
          <t>IT</t>
        </is>
      </c>
      <c r="D41" t="inlineStr">
        <is>
          <t>IT Executive</t>
        </is>
      </c>
      <c r="E41" s="2" t="n">
        <v>45995</v>
      </c>
      <c r="F41" t="inlineStr">
        <is>
          <t>Interviewed</t>
        </is>
      </c>
      <c r="G41" s="2" t="n">
        <v>46001</v>
      </c>
      <c r="H41" s="2" t="n">
        <v>46002</v>
      </c>
      <c r="I41" s="3" t="n">
        <v>5419</v>
      </c>
      <c r="J41" t="inlineStr">
        <is>
          <t>Rejected</t>
        </is>
      </c>
      <c r="K41">
        <f>H41-G41</f>
        <v/>
      </c>
      <c r="L41" t="n">
        <v/>
      </c>
      <c r="M41" t="n">
        <v>0</v>
      </c>
      <c r="N41" t="n">
        <v>0</v>
      </c>
    </row>
    <row r="42">
      <c r="A42" t="inlineStr">
        <is>
          <t>CAND1041</t>
        </is>
      </c>
      <c r="B42" t="inlineStr">
        <is>
          <t>Job Portal</t>
        </is>
      </c>
      <c r="C42" t="inlineStr">
        <is>
          <t>Finance</t>
        </is>
      </c>
      <c r="D42" t="inlineStr">
        <is>
          <t>Finance Executive</t>
        </is>
      </c>
      <c r="E42" s="2" t="n">
        <v>45732</v>
      </c>
      <c r="F42" t="inlineStr">
        <is>
          <t>Hired</t>
        </is>
      </c>
      <c r="G42" s="2" t="n">
        <v>45739</v>
      </c>
      <c r="H42" s="2" t="n">
        <v>45744</v>
      </c>
      <c r="I42" s="3" t="n">
        <v>26651</v>
      </c>
      <c r="J42" t="inlineStr">
        <is>
          <t>Hired</t>
        </is>
      </c>
      <c r="K42">
        <f>H42-G42</f>
        <v/>
      </c>
      <c r="L42" t="n">
        <v>12</v>
      </c>
      <c r="M42" t="n">
        <v>1</v>
      </c>
      <c r="N42" t="n">
        <v>1</v>
      </c>
    </row>
    <row r="43">
      <c r="A43" t="inlineStr">
        <is>
          <t>CAND1042</t>
        </is>
      </c>
      <c r="B43" t="inlineStr">
        <is>
          <t>Job Portal</t>
        </is>
      </c>
      <c r="C43" t="inlineStr">
        <is>
          <t>HR</t>
        </is>
      </c>
      <c r="D43" t="inlineStr">
        <is>
          <t>HR Analyst</t>
        </is>
      </c>
      <c r="E43" s="2" t="n">
        <v>45718</v>
      </c>
      <c r="F43" t="inlineStr">
        <is>
          <t>Rejected</t>
        </is>
      </c>
      <c r="G43" s="2" t="n">
        <v>45725</v>
      </c>
      <c r="H43" s="2" t="n">
        <v>45731</v>
      </c>
      <c r="I43" s="3" t="n">
        <v>16270</v>
      </c>
      <c r="J43" t="inlineStr">
        <is>
          <t>Rejected</t>
        </is>
      </c>
      <c r="K43">
        <f>H43-G43</f>
        <v/>
      </c>
      <c r="L43" t="n">
        <v/>
      </c>
      <c r="M43" t="n">
        <v>0</v>
      </c>
      <c r="N43" t="n">
        <v>0</v>
      </c>
    </row>
    <row r="44">
      <c r="A44" t="inlineStr">
        <is>
          <t>CAND1043</t>
        </is>
      </c>
      <c r="B44" t="inlineStr">
        <is>
          <t>Job Portal</t>
        </is>
      </c>
      <c r="C44" t="inlineStr">
        <is>
          <t>Operations</t>
        </is>
      </c>
      <c r="D44" t="inlineStr">
        <is>
          <t>Operations Executive</t>
        </is>
      </c>
      <c r="E44" s="2" t="n">
        <v>45792</v>
      </c>
      <c r="F44" t="inlineStr">
        <is>
          <t>Screened</t>
        </is>
      </c>
      <c r="G44" s="2" t="n">
        <v>45799</v>
      </c>
      <c r="H44" s="2" t="n">
        <v>45800</v>
      </c>
      <c r="I44" s="3" t="n">
        <v>5324</v>
      </c>
      <c r="J44" t="inlineStr">
        <is>
          <t>Rejected</t>
        </is>
      </c>
      <c r="K44">
        <f>H44-G44</f>
        <v/>
      </c>
      <c r="L44" t="n">
        <v/>
      </c>
      <c r="M44" t="n">
        <v>0</v>
      </c>
      <c r="N44" t="n">
        <v>0</v>
      </c>
    </row>
    <row r="45">
      <c r="A45" t="inlineStr">
        <is>
          <t>CAND1044</t>
        </is>
      </c>
      <c r="B45" t="inlineStr">
        <is>
          <t>Campus</t>
        </is>
      </c>
      <c r="C45" t="inlineStr">
        <is>
          <t>Finance</t>
        </is>
      </c>
      <c r="D45" t="inlineStr">
        <is>
          <t>Finance Executive</t>
        </is>
      </c>
      <c r="E45" s="2" t="n">
        <v>45745</v>
      </c>
      <c r="F45" t="inlineStr">
        <is>
          <t>Screened</t>
        </is>
      </c>
      <c r="G45" s="2" t="n">
        <v>45749</v>
      </c>
      <c r="H45" s="2" t="n">
        <v>45751</v>
      </c>
      <c r="I45" s="3" t="n">
        <v>12508</v>
      </c>
      <c r="J45" t="inlineStr">
        <is>
          <t>Rejected</t>
        </is>
      </c>
      <c r="K45">
        <f>H45-G45</f>
        <v/>
      </c>
      <c r="L45" t="n">
        <v/>
      </c>
      <c r="M45" t="n">
        <v>0</v>
      </c>
      <c r="N45" t="n">
        <v>0</v>
      </c>
    </row>
    <row r="46">
      <c r="A46" t="inlineStr">
        <is>
          <t>CAND1045</t>
        </is>
      </c>
      <c r="B46" t="inlineStr">
        <is>
          <t>LinkedIn</t>
        </is>
      </c>
      <c r="C46" t="inlineStr">
        <is>
          <t>HR</t>
        </is>
      </c>
      <c r="D46" t="inlineStr">
        <is>
          <t>HR Executive</t>
        </is>
      </c>
      <c r="E46" s="2" t="n">
        <v>45722</v>
      </c>
      <c r="F46" t="inlineStr">
        <is>
          <t>Rejected</t>
        </is>
      </c>
      <c r="G46" s="2" t="n">
        <v>45727</v>
      </c>
      <c r="H46" s="2" t="n">
        <v>45729</v>
      </c>
      <c r="I46" s="3" t="n">
        <v>19163</v>
      </c>
      <c r="J46" t="inlineStr">
        <is>
          <t>Rejected</t>
        </is>
      </c>
      <c r="K46">
        <f>H46-G46</f>
        <v/>
      </c>
      <c r="L46" t="n">
        <v/>
      </c>
      <c r="M46" t="n">
        <v>0</v>
      </c>
      <c r="N46" t="n">
        <v>0</v>
      </c>
    </row>
    <row r="47">
      <c r="A47" t="inlineStr">
        <is>
          <t>CAND1046</t>
        </is>
      </c>
      <c r="B47" t="inlineStr">
        <is>
          <t>Referral</t>
        </is>
      </c>
      <c r="C47" t="inlineStr">
        <is>
          <t>HR</t>
        </is>
      </c>
      <c r="D47" t="inlineStr">
        <is>
          <t>HR Analyst</t>
        </is>
      </c>
      <c r="E47" s="2" t="n">
        <v>45685</v>
      </c>
      <c r="F47" t="inlineStr">
        <is>
          <t>Interviewed</t>
        </is>
      </c>
      <c r="G47" s="2" t="n">
        <v>45690</v>
      </c>
      <c r="H47" s="2" t="n">
        <v>45692</v>
      </c>
      <c r="I47" s="3" t="n">
        <v>20330</v>
      </c>
      <c r="J47" t="inlineStr">
        <is>
          <t>Rejected</t>
        </is>
      </c>
      <c r="K47">
        <f>H47-G47</f>
        <v/>
      </c>
      <c r="L47" t="n">
        <v/>
      </c>
      <c r="M47" t="n">
        <v>0</v>
      </c>
      <c r="N47" t="n">
        <v>0</v>
      </c>
    </row>
    <row r="48">
      <c r="A48" t="inlineStr">
        <is>
          <t>CAND1047</t>
        </is>
      </c>
      <c r="B48" t="inlineStr">
        <is>
          <t>LinkedIn</t>
        </is>
      </c>
      <c r="C48" t="inlineStr">
        <is>
          <t>IT</t>
        </is>
      </c>
      <c r="D48" t="inlineStr">
        <is>
          <t>IT Executive</t>
        </is>
      </c>
      <c r="E48" s="2" t="n">
        <v>45693</v>
      </c>
      <c r="F48" t="inlineStr">
        <is>
          <t>Screened</t>
        </is>
      </c>
      <c r="G48" s="2" t="n">
        <v>45695</v>
      </c>
      <c r="H48" s="2" t="n">
        <v>45698</v>
      </c>
      <c r="I48" s="3" t="n">
        <v>16363</v>
      </c>
      <c r="J48" t="inlineStr">
        <is>
          <t>Rejected</t>
        </is>
      </c>
      <c r="K48">
        <f>H48-G48</f>
        <v/>
      </c>
      <c r="L48" t="n">
        <v/>
      </c>
      <c r="M48" t="n">
        <v>0</v>
      </c>
      <c r="N48" t="n">
        <v>0</v>
      </c>
    </row>
    <row r="49">
      <c r="A49" t="inlineStr">
        <is>
          <t>CAND1048</t>
        </is>
      </c>
      <c r="B49" t="inlineStr">
        <is>
          <t>Campus</t>
        </is>
      </c>
      <c r="C49" t="inlineStr">
        <is>
          <t>Sales</t>
        </is>
      </c>
      <c r="D49" t="inlineStr">
        <is>
          <t>Sales Analyst</t>
        </is>
      </c>
      <c r="E49" s="2" t="n">
        <v>45976</v>
      </c>
      <c r="F49" t="inlineStr">
        <is>
          <t>Screened</t>
        </is>
      </c>
      <c r="G49" s="2" t="n">
        <v>45983</v>
      </c>
      <c r="H49" s="2" t="n">
        <v>45984</v>
      </c>
      <c r="I49" s="3" t="n">
        <v>23803</v>
      </c>
      <c r="J49" t="inlineStr">
        <is>
          <t>Rejected</t>
        </is>
      </c>
      <c r="K49">
        <f>H49-G49</f>
        <v/>
      </c>
      <c r="L49" t="n">
        <v/>
      </c>
      <c r="M49" t="n">
        <v>0</v>
      </c>
      <c r="N49" t="n">
        <v>0</v>
      </c>
    </row>
    <row r="50">
      <c r="A50" t="inlineStr">
        <is>
          <t>CAND1049</t>
        </is>
      </c>
      <c r="B50" t="inlineStr">
        <is>
          <t>LinkedIn</t>
        </is>
      </c>
      <c r="C50" t="inlineStr">
        <is>
          <t>Sales</t>
        </is>
      </c>
      <c r="D50" t="inlineStr">
        <is>
          <t>Sales Manager</t>
        </is>
      </c>
      <c r="E50" s="2" t="n">
        <v>45987</v>
      </c>
      <c r="F50" t="inlineStr">
        <is>
          <t>Offered</t>
        </is>
      </c>
      <c r="G50" s="2" t="n">
        <v>45998</v>
      </c>
      <c r="H50" s="2" t="n">
        <v>46002</v>
      </c>
      <c r="I50" s="3" t="n">
        <v>15490</v>
      </c>
      <c r="J50" t="inlineStr">
        <is>
          <t>Rejected</t>
        </is>
      </c>
      <c r="K50">
        <f>H50-G50</f>
        <v/>
      </c>
      <c r="L50" t="n">
        <v/>
      </c>
      <c r="M50" t="n">
        <v>0</v>
      </c>
      <c r="N50" t="n">
        <v>1</v>
      </c>
    </row>
    <row r="51">
      <c r="A51" t="inlineStr">
        <is>
          <t>CAND1050</t>
        </is>
      </c>
      <c r="B51" t="inlineStr">
        <is>
          <t>LinkedIn</t>
        </is>
      </c>
      <c r="C51" t="inlineStr">
        <is>
          <t>Marketing</t>
        </is>
      </c>
      <c r="D51" t="inlineStr">
        <is>
          <t>Marketing Analyst</t>
        </is>
      </c>
      <c r="E51" s="2" t="n">
        <v>45673</v>
      </c>
      <c r="F51" t="inlineStr">
        <is>
          <t>Rejected</t>
        </is>
      </c>
      <c r="G51" s="2" t="n">
        <v>45684</v>
      </c>
      <c r="H51" s="2" t="n">
        <v>45691</v>
      </c>
      <c r="I51" s="3" t="n">
        <v>24446</v>
      </c>
      <c r="J51" t="inlineStr">
        <is>
          <t>Rejected</t>
        </is>
      </c>
      <c r="K51">
        <f>H51-G51</f>
        <v/>
      </c>
      <c r="L51" t="n">
        <v/>
      </c>
      <c r="M51" t="n">
        <v>0</v>
      </c>
      <c r="N51" t="n">
        <v>0</v>
      </c>
    </row>
    <row r="52">
      <c r="A52" t="inlineStr">
        <is>
          <t>CAND1051</t>
        </is>
      </c>
      <c r="B52" t="inlineStr">
        <is>
          <t>Job Portal</t>
        </is>
      </c>
      <c r="C52" t="inlineStr">
        <is>
          <t>Marketing</t>
        </is>
      </c>
      <c r="D52" t="inlineStr">
        <is>
          <t>Marketing Manager</t>
        </is>
      </c>
      <c r="E52" s="2" t="n">
        <v>45992</v>
      </c>
      <c r="F52" t="inlineStr">
        <is>
          <t>Rejected</t>
        </is>
      </c>
      <c r="G52" s="2" t="n">
        <v>45998</v>
      </c>
      <c r="H52" s="2" t="n">
        <v>46003</v>
      </c>
      <c r="I52" s="3" t="n">
        <v>8901</v>
      </c>
      <c r="J52" t="inlineStr">
        <is>
          <t>Rejected</t>
        </is>
      </c>
      <c r="K52">
        <f>H52-G52</f>
        <v/>
      </c>
      <c r="L52" t="n">
        <v/>
      </c>
      <c r="M52" t="n">
        <v>0</v>
      </c>
      <c r="N52" t="n">
        <v>0</v>
      </c>
    </row>
    <row r="53">
      <c r="A53" t="inlineStr">
        <is>
          <t>CAND1052</t>
        </is>
      </c>
      <c r="B53" t="inlineStr">
        <is>
          <t>Job Portal</t>
        </is>
      </c>
      <c r="C53" t="inlineStr">
        <is>
          <t>Sales</t>
        </is>
      </c>
      <c r="D53" t="inlineStr">
        <is>
          <t>Sales Manager</t>
        </is>
      </c>
      <c r="E53" s="2" t="n">
        <v>45676</v>
      </c>
      <c r="F53" t="inlineStr">
        <is>
          <t>Interviewed</t>
        </is>
      </c>
      <c r="G53" s="2" t="n">
        <v>45682</v>
      </c>
      <c r="H53" s="2" t="n">
        <v>45687</v>
      </c>
      <c r="I53" s="3" t="n">
        <v>16109</v>
      </c>
      <c r="J53" t="inlineStr">
        <is>
          <t>Rejected</t>
        </is>
      </c>
      <c r="K53">
        <f>H53-G53</f>
        <v/>
      </c>
      <c r="L53" t="n">
        <v/>
      </c>
      <c r="M53" t="n">
        <v>0</v>
      </c>
      <c r="N53" t="n">
        <v>0</v>
      </c>
    </row>
    <row r="54">
      <c r="A54" t="inlineStr">
        <is>
          <t>CAND1053</t>
        </is>
      </c>
      <c r="B54" t="inlineStr">
        <is>
          <t>Referral</t>
        </is>
      </c>
      <c r="C54" t="inlineStr">
        <is>
          <t>Marketing</t>
        </is>
      </c>
      <c r="D54" t="inlineStr">
        <is>
          <t>Marketing Manager</t>
        </is>
      </c>
      <c r="E54" s="2" t="n">
        <v>45835</v>
      </c>
      <c r="F54" t="inlineStr">
        <is>
          <t>Offered</t>
        </is>
      </c>
      <c r="G54" s="2" t="n">
        <v>45844</v>
      </c>
      <c r="H54" s="2" t="n">
        <v>45845</v>
      </c>
      <c r="I54" s="3" t="n">
        <v>9574</v>
      </c>
      <c r="J54" t="inlineStr">
        <is>
          <t>Rejected</t>
        </is>
      </c>
      <c r="K54">
        <f>H54-G54</f>
        <v/>
      </c>
      <c r="L54" t="n">
        <v/>
      </c>
      <c r="M54" t="n">
        <v>0</v>
      </c>
      <c r="N54" t="n">
        <v>1</v>
      </c>
    </row>
    <row r="55">
      <c r="A55" t="inlineStr">
        <is>
          <t>CAND1054</t>
        </is>
      </c>
      <c r="B55" t="inlineStr">
        <is>
          <t>Campus</t>
        </is>
      </c>
      <c r="C55" t="inlineStr">
        <is>
          <t>Operations</t>
        </is>
      </c>
      <c r="D55" t="inlineStr">
        <is>
          <t>Operations Executive</t>
        </is>
      </c>
      <c r="E55" s="2" t="n">
        <v>45924</v>
      </c>
      <c r="F55" t="inlineStr">
        <is>
          <t>Interviewed</t>
        </is>
      </c>
      <c r="G55" s="2" t="n">
        <v>45933</v>
      </c>
      <c r="H55" s="2" t="n">
        <v>45937</v>
      </c>
      <c r="I55" s="3" t="n">
        <v>5817</v>
      </c>
      <c r="J55" t="inlineStr">
        <is>
          <t>Rejected</t>
        </is>
      </c>
      <c r="K55">
        <f>H55-G55</f>
        <v/>
      </c>
      <c r="L55" t="n">
        <v/>
      </c>
      <c r="M55" t="n">
        <v>0</v>
      </c>
      <c r="N55" t="n">
        <v>0</v>
      </c>
    </row>
    <row r="56">
      <c r="A56" t="inlineStr">
        <is>
          <t>CAND1055</t>
        </is>
      </c>
      <c r="B56" t="inlineStr">
        <is>
          <t>LinkedIn</t>
        </is>
      </c>
      <c r="C56" t="inlineStr">
        <is>
          <t>IT</t>
        </is>
      </c>
      <c r="D56" t="inlineStr">
        <is>
          <t>IT Analyst</t>
        </is>
      </c>
      <c r="E56" s="2" t="n">
        <v>45670</v>
      </c>
      <c r="F56" t="inlineStr">
        <is>
          <t>Screened</t>
        </is>
      </c>
      <c r="G56" s="2" t="n">
        <v>45680</v>
      </c>
      <c r="H56" s="2" t="n">
        <v>45686</v>
      </c>
      <c r="I56" s="3" t="n">
        <v>5370</v>
      </c>
      <c r="J56" t="inlineStr">
        <is>
          <t>Rejected</t>
        </is>
      </c>
      <c r="K56">
        <f>H56-G56</f>
        <v/>
      </c>
      <c r="L56" t="n">
        <v/>
      </c>
      <c r="M56" t="n">
        <v>0</v>
      </c>
      <c r="N56" t="n">
        <v>0</v>
      </c>
    </row>
    <row r="57">
      <c r="A57" t="inlineStr">
        <is>
          <t>CAND1056</t>
        </is>
      </c>
      <c r="B57" t="inlineStr">
        <is>
          <t>Referral</t>
        </is>
      </c>
      <c r="C57" t="inlineStr">
        <is>
          <t>Finance</t>
        </is>
      </c>
      <c r="D57" t="inlineStr">
        <is>
          <t>Finance Analyst</t>
        </is>
      </c>
      <c r="E57" s="2" t="n">
        <v>45869</v>
      </c>
      <c r="F57" t="inlineStr">
        <is>
          <t>Rejected</t>
        </is>
      </c>
      <c r="G57" s="2" t="n">
        <v>45872</v>
      </c>
      <c r="H57" s="2" t="n">
        <v>45879</v>
      </c>
      <c r="I57" s="3" t="n">
        <v>9563</v>
      </c>
      <c r="J57" t="inlineStr">
        <is>
          <t>Rejected</t>
        </is>
      </c>
      <c r="K57">
        <f>H57-G57</f>
        <v/>
      </c>
      <c r="L57" t="n">
        <v/>
      </c>
      <c r="M57" t="n">
        <v>0</v>
      </c>
      <c r="N57" t="n">
        <v>0</v>
      </c>
    </row>
    <row r="58">
      <c r="A58" t="inlineStr">
        <is>
          <t>CAND1057</t>
        </is>
      </c>
      <c r="B58" t="inlineStr">
        <is>
          <t>LinkedIn</t>
        </is>
      </c>
      <c r="C58" t="inlineStr">
        <is>
          <t>IT</t>
        </is>
      </c>
      <c r="D58" t="inlineStr">
        <is>
          <t>IT Executive</t>
        </is>
      </c>
      <c r="E58" s="2" t="n">
        <v>45722</v>
      </c>
      <c r="F58" t="inlineStr">
        <is>
          <t>Interviewed</t>
        </is>
      </c>
      <c r="G58" s="2" t="n">
        <v>45724</v>
      </c>
      <c r="H58" s="2" t="n">
        <v>45726</v>
      </c>
      <c r="I58" s="3" t="n">
        <v>6087</v>
      </c>
      <c r="J58" t="inlineStr">
        <is>
          <t>Rejected</t>
        </is>
      </c>
      <c r="K58">
        <f>H58-G58</f>
        <v/>
      </c>
      <c r="L58" t="n">
        <v/>
      </c>
      <c r="M58" t="n">
        <v>0</v>
      </c>
      <c r="N58" t="n">
        <v>0</v>
      </c>
    </row>
    <row r="59">
      <c r="A59" t="inlineStr">
        <is>
          <t>CAND1058</t>
        </is>
      </c>
      <c r="B59" t="inlineStr">
        <is>
          <t>LinkedIn</t>
        </is>
      </c>
      <c r="C59" t="inlineStr">
        <is>
          <t>HR</t>
        </is>
      </c>
      <c r="D59" t="inlineStr">
        <is>
          <t>HR Manager</t>
        </is>
      </c>
      <c r="E59" s="2" t="n">
        <v>45701</v>
      </c>
      <c r="F59" t="inlineStr">
        <is>
          <t>Hired</t>
        </is>
      </c>
      <c r="G59" s="2" t="n">
        <v>45705</v>
      </c>
      <c r="H59" s="2" t="n">
        <v>45706</v>
      </c>
      <c r="I59" s="3" t="n">
        <v>24227</v>
      </c>
      <c r="J59" t="inlineStr">
        <is>
          <t>Hired</t>
        </is>
      </c>
      <c r="K59">
        <f>H59-G59</f>
        <v/>
      </c>
      <c r="L59" t="n">
        <v>5</v>
      </c>
      <c r="M59" t="n">
        <v>1</v>
      </c>
      <c r="N59" t="n">
        <v>1</v>
      </c>
    </row>
    <row r="60">
      <c r="A60" t="inlineStr">
        <is>
          <t>CAND1059</t>
        </is>
      </c>
      <c r="B60" t="inlineStr">
        <is>
          <t>Campus</t>
        </is>
      </c>
      <c r="C60" t="inlineStr">
        <is>
          <t>HR</t>
        </is>
      </c>
      <c r="D60" t="inlineStr">
        <is>
          <t>HR Executive</t>
        </is>
      </c>
      <c r="E60" s="2" t="n">
        <v>46022</v>
      </c>
      <c r="F60" t="inlineStr">
        <is>
          <t>Screened</t>
        </is>
      </c>
      <c r="G60" s="2" t="n">
        <v>46029</v>
      </c>
      <c r="H60" s="2" t="n">
        <v>46036</v>
      </c>
      <c r="I60" s="3" t="n">
        <v>11019</v>
      </c>
      <c r="J60" t="inlineStr">
        <is>
          <t>Rejected</t>
        </is>
      </c>
      <c r="K60">
        <f>H60-G60</f>
        <v/>
      </c>
      <c r="L60" t="n">
        <v/>
      </c>
      <c r="M60" t="n">
        <v>0</v>
      </c>
      <c r="N60" t="n">
        <v>0</v>
      </c>
    </row>
    <row r="61">
      <c r="A61" t="inlineStr">
        <is>
          <t>CAND1060</t>
        </is>
      </c>
      <c r="B61" t="inlineStr">
        <is>
          <t>LinkedIn</t>
        </is>
      </c>
      <c r="C61" t="inlineStr">
        <is>
          <t>Sales</t>
        </is>
      </c>
      <c r="D61" t="inlineStr">
        <is>
          <t>Sales Manager</t>
        </is>
      </c>
      <c r="E61" s="2" t="n">
        <v>45848</v>
      </c>
      <c r="F61" t="inlineStr">
        <is>
          <t>Interviewed</t>
        </is>
      </c>
      <c r="G61" s="2" t="n">
        <v>45855</v>
      </c>
      <c r="H61" s="2" t="n">
        <v>45857</v>
      </c>
      <c r="I61" s="3" t="n">
        <v>3508</v>
      </c>
      <c r="J61" t="inlineStr">
        <is>
          <t>Rejected</t>
        </is>
      </c>
      <c r="K61">
        <f>H61-G61</f>
        <v/>
      </c>
      <c r="L61" t="n">
        <v/>
      </c>
      <c r="M61" t="n">
        <v>0</v>
      </c>
      <c r="N61" t="n">
        <v>0</v>
      </c>
    </row>
    <row r="62">
      <c r="A62" t="inlineStr">
        <is>
          <t>CAND1061</t>
        </is>
      </c>
      <c r="B62" t="inlineStr">
        <is>
          <t>Job Portal</t>
        </is>
      </c>
      <c r="C62" t="inlineStr">
        <is>
          <t>IT</t>
        </is>
      </c>
      <c r="D62" t="inlineStr">
        <is>
          <t>IT Manager</t>
        </is>
      </c>
      <c r="E62" s="2" t="n">
        <v>45864</v>
      </c>
      <c r="F62" t="inlineStr">
        <is>
          <t>Rejected</t>
        </is>
      </c>
      <c r="G62" s="2" t="n">
        <v>45870</v>
      </c>
      <c r="H62" s="2" t="n">
        <v>45873</v>
      </c>
      <c r="I62" s="3" t="n">
        <v>12310</v>
      </c>
      <c r="J62" t="inlineStr">
        <is>
          <t>Rejected</t>
        </is>
      </c>
      <c r="K62">
        <f>H62-G62</f>
        <v/>
      </c>
      <c r="L62" t="n">
        <v/>
      </c>
      <c r="M62" t="n">
        <v>0</v>
      </c>
      <c r="N62" t="n">
        <v>0</v>
      </c>
    </row>
    <row r="63">
      <c r="A63" t="inlineStr">
        <is>
          <t>CAND1062</t>
        </is>
      </c>
      <c r="B63" t="inlineStr">
        <is>
          <t>Job Portal</t>
        </is>
      </c>
      <c r="C63" t="inlineStr">
        <is>
          <t>Sales</t>
        </is>
      </c>
      <c r="D63" t="inlineStr">
        <is>
          <t>Sales Analyst</t>
        </is>
      </c>
      <c r="E63" s="2" t="n">
        <v>45696</v>
      </c>
      <c r="F63" t="inlineStr">
        <is>
          <t>Screened</t>
        </is>
      </c>
      <c r="G63" s="2" t="n">
        <v>45698</v>
      </c>
      <c r="H63" s="2" t="n">
        <v>45699</v>
      </c>
      <c r="I63" s="3" t="n">
        <v>13951</v>
      </c>
      <c r="J63" t="inlineStr">
        <is>
          <t>Rejected</t>
        </is>
      </c>
      <c r="K63">
        <f>H63-G63</f>
        <v/>
      </c>
      <c r="L63" t="n">
        <v/>
      </c>
      <c r="M63" t="n">
        <v>0</v>
      </c>
      <c r="N63" t="n">
        <v>0</v>
      </c>
    </row>
    <row r="64">
      <c r="A64" t="inlineStr">
        <is>
          <t>CAND1063</t>
        </is>
      </c>
      <c r="B64" t="inlineStr">
        <is>
          <t>LinkedIn</t>
        </is>
      </c>
      <c r="C64" t="inlineStr">
        <is>
          <t>Marketing</t>
        </is>
      </c>
      <c r="D64" t="inlineStr">
        <is>
          <t>Marketing Manager</t>
        </is>
      </c>
      <c r="E64" s="2" t="n">
        <v>45864</v>
      </c>
      <c r="F64" t="inlineStr">
        <is>
          <t>Screened</t>
        </is>
      </c>
      <c r="G64" s="2" t="n">
        <v>45869</v>
      </c>
      <c r="H64" s="2" t="n">
        <v>45872</v>
      </c>
      <c r="I64" s="3" t="n">
        <v>20862</v>
      </c>
      <c r="J64" t="inlineStr">
        <is>
          <t>Rejected</t>
        </is>
      </c>
      <c r="K64">
        <f>H64-G64</f>
        <v/>
      </c>
      <c r="L64" t="n">
        <v/>
      </c>
      <c r="M64" t="n">
        <v>0</v>
      </c>
      <c r="N64" t="n">
        <v>0</v>
      </c>
    </row>
    <row r="65">
      <c r="A65" t="inlineStr">
        <is>
          <t>CAND1064</t>
        </is>
      </c>
      <c r="B65" t="inlineStr">
        <is>
          <t>Job Portal</t>
        </is>
      </c>
      <c r="C65" t="inlineStr">
        <is>
          <t>Sales</t>
        </is>
      </c>
      <c r="D65" t="inlineStr">
        <is>
          <t>Sales Manager</t>
        </is>
      </c>
      <c r="E65" s="2" t="n">
        <v>45865</v>
      </c>
      <c r="F65" t="inlineStr">
        <is>
          <t>Hired</t>
        </is>
      </c>
      <c r="G65" s="2" t="n">
        <v>45868</v>
      </c>
      <c r="H65" s="2" t="n">
        <v>45869</v>
      </c>
      <c r="I65" s="3" t="n">
        <v>31938</v>
      </c>
      <c r="J65" t="inlineStr">
        <is>
          <t>Hired</t>
        </is>
      </c>
      <c r="K65">
        <f>H65-G65</f>
        <v/>
      </c>
      <c r="L65" t="n">
        <v>4</v>
      </c>
      <c r="M65" t="n">
        <v>1</v>
      </c>
      <c r="N65" t="n">
        <v>1</v>
      </c>
    </row>
    <row r="66">
      <c r="A66" t="inlineStr">
        <is>
          <t>CAND1065</t>
        </is>
      </c>
      <c r="B66" t="inlineStr">
        <is>
          <t>Job Portal</t>
        </is>
      </c>
      <c r="C66" t="inlineStr">
        <is>
          <t>Marketing</t>
        </is>
      </c>
      <c r="D66" t="inlineStr">
        <is>
          <t>Marketing Manager</t>
        </is>
      </c>
      <c r="E66" s="2" t="n">
        <v>45660</v>
      </c>
      <c r="F66" t="inlineStr">
        <is>
          <t>Hired</t>
        </is>
      </c>
      <c r="G66" s="2" t="n">
        <v>45666</v>
      </c>
      <c r="H66" s="2" t="n">
        <v>45671</v>
      </c>
      <c r="I66" s="3" t="n">
        <v>24137</v>
      </c>
      <c r="J66" t="inlineStr">
        <is>
          <t>Hired</t>
        </is>
      </c>
      <c r="K66">
        <f>H66-G66</f>
        <v/>
      </c>
      <c r="L66" t="n">
        <v>11</v>
      </c>
      <c r="M66" t="n">
        <v>1</v>
      </c>
      <c r="N66" t="n">
        <v>1</v>
      </c>
    </row>
    <row r="67">
      <c r="A67" t="inlineStr">
        <is>
          <t>CAND1066</t>
        </is>
      </c>
      <c r="B67" t="inlineStr">
        <is>
          <t>Job Portal</t>
        </is>
      </c>
      <c r="C67" t="inlineStr">
        <is>
          <t>Finance</t>
        </is>
      </c>
      <c r="D67" t="inlineStr">
        <is>
          <t>Finance Executive</t>
        </is>
      </c>
      <c r="E67" s="2" t="n">
        <v>45793</v>
      </c>
      <c r="F67" t="inlineStr">
        <is>
          <t>Hired</t>
        </is>
      </c>
      <c r="G67" s="2" t="n">
        <v>45797</v>
      </c>
      <c r="H67" s="2" t="n">
        <v>45801</v>
      </c>
      <c r="I67" s="3" t="n">
        <v>26765</v>
      </c>
      <c r="J67" t="inlineStr">
        <is>
          <t>Hired</t>
        </is>
      </c>
      <c r="K67">
        <f>H67-G67</f>
        <v/>
      </c>
      <c r="L67" t="n">
        <v>8</v>
      </c>
      <c r="M67" t="n">
        <v>1</v>
      </c>
      <c r="N67" t="n">
        <v>1</v>
      </c>
    </row>
    <row r="68">
      <c r="A68" t="inlineStr">
        <is>
          <t>CAND1067</t>
        </is>
      </c>
      <c r="B68" t="inlineStr">
        <is>
          <t>Job Portal</t>
        </is>
      </c>
      <c r="C68" t="inlineStr">
        <is>
          <t>Sales</t>
        </is>
      </c>
      <c r="D68" t="inlineStr">
        <is>
          <t>Sales Executive</t>
        </is>
      </c>
      <c r="E68" s="2" t="n">
        <v>45785</v>
      </c>
      <c r="F68" t="inlineStr">
        <is>
          <t>Rejected</t>
        </is>
      </c>
      <c r="G68" s="2" t="n">
        <v>45794</v>
      </c>
      <c r="H68" s="2" t="n">
        <v>45798</v>
      </c>
      <c r="I68" s="3" t="n">
        <v>24119</v>
      </c>
      <c r="J68" t="inlineStr">
        <is>
          <t>Rejected</t>
        </is>
      </c>
      <c r="K68">
        <f>H68-G68</f>
        <v/>
      </c>
      <c r="L68" t="n">
        <v/>
      </c>
      <c r="M68" t="n">
        <v>0</v>
      </c>
      <c r="N68" t="n">
        <v>0</v>
      </c>
    </row>
    <row r="69">
      <c r="A69" t="inlineStr">
        <is>
          <t>CAND1068</t>
        </is>
      </c>
      <c r="B69" t="inlineStr">
        <is>
          <t>Referral</t>
        </is>
      </c>
      <c r="C69" t="inlineStr">
        <is>
          <t>Operations</t>
        </is>
      </c>
      <c r="D69" t="inlineStr">
        <is>
          <t>Operations Executive</t>
        </is>
      </c>
      <c r="E69" s="2" t="n">
        <v>45690</v>
      </c>
      <c r="F69" t="inlineStr">
        <is>
          <t>Rejected</t>
        </is>
      </c>
      <c r="G69" s="2" t="n">
        <v>45697</v>
      </c>
      <c r="H69" s="2" t="n">
        <v>45703</v>
      </c>
      <c r="I69" s="3" t="n">
        <v>12804</v>
      </c>
      <c r="J69" t="inlineStr">
        <is>
          <t>Rejected</t>
        </is>
      </c>
      <c r="K69">
        <f>H69-G69</f>
        <v/>
      </c>
      <c r="L69" t="n">
        <v/>
      </c>
      <c r="M69" t="n">
        <v>0</v>
      </c>
      <c r="N69" t="n">
        <v>0</v>
      </c>
    </row>
    <row r="70">
      <c r="A70" t="inlineStr">
        <is>
          <t>CAND1069</t>
        </is>
      </c>
      <c r="B70" t="inlineStr">
        <is>
          <t>Referral</t>
        </is>
      </c>
      <c r="C70" t="inlineStr">
        <is>
          <t>Sales</t>
        </is>
      </c>
      <c r="D70" t="inlineStr">
        <is>
          <t>Sales Executive</t>
        </is>
      </c>
      <c r="E70" s="2" t="n">
        <v>45926</v>
      </c>
      <c r="F70" t="inlineStr">
        <is>
          <t>Screened</t>
        </is>
      </c>
      <c r="G70" s="2" t="n">
        <v>45937</v>
      </c>
      <c r="H70" s="2" t="n">
        <v>45943</v>
      </c>
      <c r="I70" s="3" t="n">
        <v>14379</v>
      </c>
      <c r="J70" t="inlineStr">
        <is>
          <t>Rejected</t>
        </is>
      </c>
      <c r="K70">
        <f>H70-G70</f>
        <v/>
      </c>
      <c r="L70" t="n">
        <v/>
      </c>
      <c r="M70" t="n">
        <v>0</v>
      </c>
      <c r="N70" t="n">
        <v>0</v>
      </c>
    </row>
    <row r="71">
      <c r="A71" t="inlineStr">
        <is>
          <t>CAND1070</t>
        </is>
      </c>
      <c r="B71" t="inlineStr">
        <is>
          <t>Job Portal</t>
        </is>
      </c>
      <c r="C71" t="inlineStr">
        <is>
          <t>Operations</t>
        </is>
      </c>
      <c r="D71" t="inlineStr">
        <is>
          <t>Operations Analyst</t>
        </is>
      </c>
      <c r="E71" s="2" t="n">
        <v>45799</v>
      </c>
      <c r="F71" t="inlineStr">
        <is>
          <t>Screened</t>
        </is>
      </c>
      <c r="G71" s="2" t="n">
        <v>45804</v>
      </c>
      <c r="H71" s="2" t="n">
        <v>45807</v>
      </c>
      <c r="I71" s="3" t="n">
        <v>6617</v>
      </c>
      <c r="J71" t="inlineStr">
        <is>
          <t>Rejected</t>
        </is>
      </c>
      <c r="K71">
        <f>H71-G71</f>
        <v/>
      </c>
      <c r="L71" t="n">
        <v/>
      </c>
      <c r="M71" t="n">
        <v>0</v>
      </c>
      <c r="N71" t="n">
        <v>0</v>
      </c>
    </row>
    <row r="72">
      <c r="A72" t="inlineStr">
        <is>
          <t>CAND1071</t>
        </is>
      </c>
      <c r="B72" t="inlineStr">
        <is>
          <t>Referral</t>
        </is>
      </c>
      <c r="C72" t="inlineStr">
        <is>
          <t>Sales</t>
        </is>
      </c>
      <c r="D72" t="inlineStr">
        <is>
          <t>Sales Analyst</t>
        </is>
      </c>
      <c r="E72" s="2" t="n">
        <v>45667</v>
      </c>
      <c r="F72" t="inlineStr">
        <is>
          <t>Screened</t>
        </is>
      </c>
      <c r="G72" s="2" t="n">
        <v>45672</v>
      </c>
      <c r="H72" s="2" t="n">
        <v>45676</v>
      </c>
      <c r="I72" s="3" t="n">
        <v>8250</v>
      </c>
      <c r="J72" t="inlineStr">
        <is>
          <t>Rejected</t>
        </is>
      </c>
      <c r="K72">
        <f>H72-G72</f>
        <v/>
      </c>
      <c r="L72" t="n">
        <v/>
      </c>
      <c r="M72" t="n">
        <v>0</v>
      </c>
      <c r="N72" t="n">
        <v>0</v>
      </c>
    </row>
    <row r="73">
      <c r="A73" t="inlineStr">
        <is>
          <t>CAND1072</t>
        </is>
      </c>
      <c r="B73" t="inlineStr">
        <is>
          <t>Job Portal</t>
        </is>
      </c>
      <c r="C73" t="inlineStr">
        <is>
          <t>Sales</t>
        </is>
      </c>
      <c r="D73" t="inlineStr">
        <is>
          <t>Sales Analyst</t>
        </is>
      </c>
      <c r="E73" s="2" t="n">
        <v>45710</v>
      </c>
      <c r="F73" t="inlineStr">
        <is>
          <t>Screened</t>
        </is>
      </c>
      <c r="G73" s="2" t="n">
        <v>45716</v>
      </c>
      <c r="H73" s="2" t="n">
        <v>45717</v>
      </c>
      <c r="I73" s="3" t="n">
        <v>13141</v>
      </c>
      <c r="J73" t="inlineStr">
        <is>
          <t>Rejected</t>
        </is>
      </c>
      <c r="K73">
        <f>H73-G73</f>
        <v/>
      </c>
      <c r="L73" t="n">
        <v/>
      </c>
      <c r="M73" t="n">
        <v>0</v>
      </c>
      <c r="N73" t="n">
        <v>0</v>
      </c>
    </row>
    <row r="74">
      <c r="A74" t="inlineStr">
        <is>
          <t>CAND1073</t>
        </is>
      </c>
      <c r="B74" t="inlineStr">
        <is>
          <t>Campus</t>
        </is>
      </c>
      <c r="C74" t="inlineStr">
        <is>
          <t>Finance</t>
        </is>
      </c>
      <c r="D74" t="inlineStr">
        <is>
          <t>Finance Executive</t>
        </is>
      </c>
      <c r="E74" s="2" t="n">
        <v>45845</v>
      </c>
      <c r="F74" t="inlineStr">
        <is>
          <t>Interviewed</t>
        </is>
      </c>
      <c r="G74" s="2" t="n">
        <v>45852</v>
      </c>
      <c r="H74" s="2" t="n">
        <v>45858</v>
      </c>
      <c r="I74" s="3" t="n">
        <v>17475</v>
      </c>
      <c r="J74" t="inlineStr">
        <is>
          <t>Rejected</t>
        </is>
      </c>
      <c r="K74">
        <f>H74-G74</f>
        <v/>
      </c>
      <c r="L74" t="n">
        <v/>
      </c>
      <c r="M74" t="n">
        <v>0</v>
      </c>
      <c r="N74" t="n">
        <v>0</v>
      </c>
    </row>
    <row r="75">
      <c r="A75" t="inlineStr">
        <is>
          <t>CAND1074</t>
        </is>
      </c>
      <c r="B75" t="inlineStr">
        <is>
          <t>LinkedIn</t>
        </is>
      </c>
      <c r="C75" t="inlineStr">
        <is>
          <t>Marketing</t>
        </is>
      </c>
      <c r="D75" t="inlineStr">
        <is>
          <t>Marketing Executive</t>
        </is>
      </c>
      <c r="E75" s="2" t="n">
        <v>45754</v>
      </c>
      <c r="F75" t="inlineStr">
        <is>
          <t>Hired</t>
        </is>
      </c>
      <c r="G75" s="2" t="n">
        <v>45756</v>
      </c>
      <c r="H75" s="2" t="n">
        <v>45759</v>
      </c>
      <c r="I75" s="3" t="n">
        <v>33725</v>
      </c>
      <c r="J75" t="inlineStr">
        <is>
          <t>Hired</t>
        </is>
      </c>
      <c r="K75">
        <f>H75-G75</f>
        <v/>
      </c>
      <c r="L75" t="n">
        <v>5</v>
      </c>
      <c r="M75" t="n">
        <v>1</v>
      </c>
      <c r="N75" t="n">
        <v>1</v>
      </c>
    </row>
    <row r="76">
      <c r="A76" t="inlineStr">
        <is>
          <t>CAND1075</t>
        </is>
      </c>
      <c r="B76" t="inlineStr">
        <is>
          <t>LinkedIn</t>
        </is>
      </c>
      <c r="C76" t="inlineStr">
        <is>
          <t>Operations</t>
        </is>
      </c>
      <c r="D76" t="inlineStr">
        <is>
          <t>Operations Analyst</t>
        </is>
      </c>
      <c r="E76" s="2" t="n">
        <v>45891</v>
      </c>
      <c r="F76" t="inlineStr">
        <is>
          <t>Interviewed</t>
        </is>
      </c>
      <c r="G76" s="2" t="n">
        <v>45894</v>
      </c>
      <c r="H76" s="2" t="n">
        <v>45895</v>
      </c>
      <c r="I76" s="3" t="n">
        <v>16109</v>
      </c>
      <c r="J76" t="inlineStr">
        <is>
          <t>Rejected</t>
        </is>
      </c>
      <c r="K76">
        <f>H76-G76</f>
        <v/>
      </c>
      <c r="L76" t="n">
        <v/>
      </c>
      <c r="M76" t="n">
        <v>0</v>
      </c>
      <c r="N76" t="n">
        <v>0</v>
      </c>
    </row>
    <row r="77">
      <c r="A77" t="inlineStr">
        <is>
          <t>CAND1076</t>
        </is>
      </c>
      <c r="B77" t="inlineStr">
        <is>
          <t>Job Portal</t>
        </is>
      </c>
      <c r="C77" t="inlineStr">
        <is>
          <t>IT</t>
        </is>
      </c>
      <c r="D77" t="inlineStr">
        <is>
          <t>IT Executive</t>
        </is>
      </c>
      <c r="E77" s="2" t="n">
        <v>45955</v>
      </c>
      <c r="F77" t="inlineStr">
        <is>
          <t>Hired</t>
        </is>
      </c>
      <c r="G77" s="2" t="n">
        <v>45959</v>
      </c>
      <c r="H77" s="2" t="n">
        <v>45965</v>
      </c>
      <c r="I77" s="3" t="n">
        <v>31296</v>
      </c>
      <c r="J77" t="inlineStr">
        <is>
          <t>Hired</t>
        </is>
      </c>
      <c r="K77">
        <f>H77-G77</f>
        <v/>
      </c>
      <c r="L77" t="n">
        <v>10</v>
      </c>
      <c r="M77" t="n">
        <v>1</v>
      </c>
      <c r="N77" t="n">
        <v>1</v>
      </c>
    </row>
    <row r="78">
      <c r="A78" t="inlineStr">
        <is>
          <t>CAND1077</t>
        </is>
      </c>
      <c r="B78" t="inlineStr">
        <is>
          <t>LinkedIn</t>
        </is>
      </c>
      <c r="C78" t="inlineStr">
        <is>
          <t>HR</t>
        </is>
      </c>
      <c r="D78" t="inlineStr">
        <is>
          <t>HR Manager</t>
        </is>
      </c>
      <c r="E78" s="2" t="n">
        <v>45931</v>
      </c>
      <c r="F78" t="inlineStr">
        <is>
          <t>Rejected</t>
        </is>
      </c>
      <c r="G78" s="2" t="n">
        <v>45938</v>
      </c>
      <c r="H78" s="2" t="n">
        <v>45944</v>
      </c>
      <c r="I78" s="3" t="n">
        <v>15554</v>
      </c>
      <c r="J78" t="inlineStr">
        <is>
          <t>Rejected</t>
        </is>
      </c>
      <c r="K78">
        <f>H78-G78</f>
        <v/>
      </c>
      <c r="L78" t="n">
        <v/>
      </c>
      <c r="M78" t="n">
        <v>0</v>
      </c>
      <c r="N78" t="n">
        <v>0</v>
      </c>
    </row>
    <row r="79">
      <c r="A79" t="inlineStr">
        <is>
          <t>CAND1078</t>
        </is>
      </c>
      <c r="B79" t="inlineStr">
        <is>
          <t>Referral</t>
        </is>
      </c>
      <c r="C79" t="inlineStr">
        <is>
          <t>HR</t>
        </is>
      </c>
      <c r="D79" t="inlineStr">
        <is>
          <t>HR Executive</t>
        </is>
      </c>
      <c r="E79" s="2" t="n">
        <v>45846</v>
      </c>
      <c r="F79" t="inlineStr">
        <is>
          <t>Hired</t>
        </is>
      </c>
      <c r="G79" s="2" t="n">
        <v>45855</v>
      </c>
      <c r="H79" s="2" t="n">
        <v>45856</v>
      </c>
      <c r="I79" s="3" t="n">
        <v>29094</v>
      </c>
      <c r="J79" t="inlineStr">
        <is>
          <t>Hired</t>
        </is>
      </c>
      <c r="K79">
        <f>H79-G79</f>
        <v/>
      </c>
      <c r="L79" t="n">
        <v>10</v>
      </c>
      <c r="M79" t="n">
        <v>1</v>
      </c>
      <c r="N79" t="n">
        <v>1</v>
      </c>
    </row>
    <row r="80">
      <c r="A80" t="inlineStr">
        <is>
          <t>CAND1079</t>
        </is>
      </c>
      <c r="B80" t="inlineStr">
        <is>
          <t>Referral</t>
        </is>
      </c>
      <c r="C80" t="inlineStr">
        <is>
          <t>Sales</t>
        </is>
      </c>
      <c r="D80" t="inlineStr">
        <is>
          <t>Sales Manager</t>
        </is>
      </c>
      <c r="E80" s="2" t="n">
        <v>45794</v>
      </c>
      <c r="F80" t="inlineStr">
        <is>
          <t>Screened</t>
        </is>
      </c>
      <c r="G80" s="2" t="n">
        <v>45797</v>
      </c>
      <c r="H80" s="2" t="n">
        <v>45804</v>
      </c>
      <c r="I80" s="3" t="n">
        <v>13608</v>
      </c>
      <c r="J80" t="inlineStr">
        <is>
          <t>Rejected</t>
        </is>
      </c>
      <c r="K80">
        <f>H80-G80</f>
        <v/>
      </c>
      <c r="L80" t="n">
        <v/>
      </c>
      <c r="M80" t="n">
        <v>0</v>
      </c>
      <c r="N80" t="n">
        <v>0</v>
      </c>
    </row>
    <row r="81">
      <c r="A81" t="inlineStr">
        <is>
          <t>CAND1080</t>
        </is>
      </c>
      <c r="B81" t="inlineStr">
        <is>
          <t>Job Portal</t>
        </is>
      </c>
      <c r="C81" t="inlineStr">
        <is>
          <t>Finance</t>
        </is>
      </c>
      <c r="D81" t="inlineStr">
        <is>
          <t>Finance Executive</t>
        </is>
      </c>
      <c r="E81" s="2" t="n">
        <v>45849</v>
      </c>
      <c r="F81" t="inlineStr">
        <is>
          <t>Offered</t>
        </is>
      </c>
      <c r="G81" s="2" t="n">
        <v>45853</v>
      </c>
      <c r="H81" s="2" t="n">
        <v>45854</v>
      </c>
      <c r="I81" s="3" t="n">
        <v>5952</v>
      </c>
      <c r="J81" t="inlineStr">
        <is>
          <t>Rejected</t>
        </is>
      </c>
      <c r="K81">
        <f>H81-G81</f>
        <v/>
      </c>
      <c r="L81" t="n">
        <v/>
      </c>
      <c r="M81" t="n">
        <v>0</v>
      </c>
      <c r="N81" t="n">
        <v>1</v>
      </c>
    </row>
    <row r="82">
      <c r="A82" t="inlineStr">
        <is>
          <t>CAND1081</t>
        </is>
      </c>
      <c r="B82" t="inlineStr">
        <is>
          <t>Campus</t>
        </is>
      </c>
      <c r="C82" t="inlineStr">
        <is>
          <t>IT</t>
        </is>
      </c>
      <c r="D82" t="inlineStr">
        <is>
          <t>IT Executive</t>
        </is>
      </c>
      <c r="E82" s="2" t="n">
        <v>45809</v>
      </c>
      <c r="F82" t="inlineStr">
        <is>
          <t>Rejected</t>
        </is>
      </c>
      <c r="G82" s="2" t="n">
        <v>45812</v>
      </c>
      <c r="H82" s="2" t="n">
        <v>45813</v>
      </c>
      <c r="I82" s="3" t="n">
        <v>12989</v>
      </c>
      <c r="J82" t="inlineStr">
        <is>
          <t>Rejected</t>
        </is>
      </c>
      <c r="K82">
        <f>H82-G82</f>
        <v/>
      </c>
      <c r="L82" t="n">
        <v/>
      </c>
      <c r="M82" t="n">
        <v>0</v>
      </c>
      <c r="N82" t="n">
        <v>0</v>
      </c>
    </row>
    <row r="83">
      <c r="A83" t="inlineStr">
        <is>
          <t>CAND1082</t>
        </is>
      </c>
      <c r="B83" t="inlineStr">
        <is>
          <t>LinkedIn</t>
        </is>
      </c>
      <c r="C83" t="inlineStr">
        <is>
          <t>Sales</t>
        </is>
      </c>
      <c r="D83" t="inlineStr">
        <is>
          <t>Sales Analyst</t>
        </is>
      </c>
      <c r="E83" s="2" t="n">
        <v>45682</v>
      </c>
      <c r="F83" t="inlineStr">
        <is>
          <t>Rejected</t>
        </is>
      </c>
      <c r="G83" s="2" t="n">
        <v>45687</v>
      </c>
      <c r="H83" s="2" t="n">
        <v>45694</v>
      </c>
      <c r="I83" s="3" t="n">
        <v>10784</v>
      </c>
      <c r="J83" t="inlineStr">
        <is>
          <t>Rejected</t>
        </is>
      </c>
      <c r="K83">
        <f>H83-G83</f>
        <v/>
      </c>
      <c r="L83" t="n">
        <v/>
      </c>
      <c r="M83" t="n">
        <v>0</v>
      </c>
      <c r="N83" t="n">
        <v>0</v>
      </c>
    </row>
    <row r="84">
      <c r="A84" t="inlineStr">
        <is>
          <t>CAND1083</t>
        </is>
      </c>
      <c r="B84" t="inlineStr">
        <is>
          <t>Referral</t>
        </is>
      </c>
      <c r="C84" t="inlineStr">
        <is>
          <t>Sales</t>
        </is>
      </c>
      <c r="D84" t="inlineStr">
        <is>
          <t>Sales Executive</t>
        </is>
      </c>
      <c r="E84" s="2" t="n">
        <v>45759</v>
      </c>
      <c r="F84" t="inlineStr">
        <is>
          <t>Screened</t>
        </is>
      </c>
      <c r="G84" s="2" t="n">
        <v>45761</v>
      </c>
      <c r="H84" s="2" t="n">
        <v>45763</v>
      </c>
      <c r="I84" s="3" t="n">
        <v>17984</v>
      </c>
      <c r="J84" t="inlineStr">
        <is>
          <t>Rejected</t>
        </is>
      </c>
      <c r="K84">
        <f>H84-G84</f>
        <v/>
      </c>
      <c r="L84" t="n">
        <v/>
      </c>
      <c r="M84" t="n">
        <v>0</v>
      </c>
      <c r="N84" t="n">
        <v>0</v>
      </c>
    </row>
    <row r="85">
      <c r="A85" t="inlineStr">
        <is>
          <t>CAND1084</t>
        </is>
      </c>
      <c r="B85" t="inlineStr">
        <is>
          <t>Campus</t>
        </is>
      </c>
      <c r="C85" t="inlineStr">
        <is>
          <t>Operations</t>
        </is>
      </c>
      <c r="D85" t="inlineStr">
        <is>
          <t>Operations Manager</t>
        </is>
      </c>
      <c r="E85" s="2" t="n">
        <v>45973</v>
      </c>
      <c r="F85" t="inlineStr">
        <is>
          <t>Rejected</t>
        </is>
      </c>
      <c r="G85" s="2" t="n">
        <v>45978</v>
      </c>
      <c r="H85" s="2" t="n">
        <v>45983</v>
      </c>
      <c r="I85" s="3" t="n">
        <v>13359</v>
      </c>
      <c r="J85" t="inlineStr">
        <is>
          <t>Rejected</t>
        </is>
      </c>
      <c r="K85">
        <f>H85-G85</f>
        <v/>
      </c>
      <c r="L85" t="n">
        <v/>
      </c>
      <c r="M85" t="n">
        <v>0</v>
      </c>
      <c r="N85" t="n">
        <v>0</v>
      </c>
    </row>
    <row r="86">
      <c r="A86" t="inlineStr">
        <is>
          <t>CAND1085</t>
        </is>
      </c>
      <c r="B86" t="inlineStr">
        <is>
          <t>LinkedIn</t>
        </is>
      </c>
      <c r="C86" t="inlineStr">
        <is>
          <t>Operations</t>
        </is>
      </c>
      <c r="D86" t="inlineStr">
        <is>
          <t>Operations Analyst</t>
        </is>
      </c>
      <c r="E86" s="2" t="n">
        <v>45877</v>
      </c>
      <c r="F86" t="inlineStr">
        <is>
          <t>Hired</t>
        </is>
      </c>
      <c r="G86" s="2" t="n">
        <v>45885</v>
      </c>
      <c r="H86" s="2" t="n">
        <v>45890</v>
      </c>
      <c r="I86" s="3" t="n">
        <v>33228</v>
      </c>
      <c r="J86" t="inlineStr">
        <is>
          <t>Hired</t>
        </is>
      </c>
      <c r="K86">
        <f>H86-G86</f>
        <v/>
      </c>
      <c r="L86" t="n">
        <v>13</v>
      </c>
      <c r="M86" t="n">
        <v>1</v>
      </c>
      <c r="N86" t="n">
        <v>1</v>
      </c>
    </row>
    <row r="87">
      <c r="A87" t="inlineStr">
        <is>
          <t>CAND1086</t>
        </is>
      </c>
      <c r="B87" t="inlineStr">
        <is>
          <t>Referral</t>
        </is>
      </c>
      <c r="C87" t="inlineStr">
        <is>
          <t>Sales</t>
        </is>
      </c>
      <c r="D87" t="inlineStr">
        <is>
          <t>Sales Executive</t>
        </is>
      </c>
      <c r="E87" s="2" t="n">
        <v>45871</v>
      </c>
      <c r="F87" t="inlineStr">
        <is>
          <t>Screened</t>
        </is>
      </c>
      <c r="G87" s="2" t="n">
        <v>45876</v>
      </c>
      <c r="H87" s="2" t="n">
        <v>45877</v>
      </c>
      <c r="I87" s="3" t="n">
        <v>4636</v>
      </c>
      <c r="J87" t="inlineStr">
        <is>
          <t>Rejected</t>
        </is>
      </c>
      <c r="K87">
        <f>H87-G87</f>
        <v/>
      </c>
      <c r="L87" t="n">
        <v/>
      </c>
      <c r="M87" t="n">
        <v>0</v>
      </c>
      <c r="N87" t="n">
        <v>0</v>
      </c>
    </row>
    <row r="88">
      <c r="A88" t="inlineStr">
        <is>
          <t>CAND1087</t>
        </is>
      </c>
      <c r="B88" t="inlineStr">
        <is>
          <t>Campus</t>
        </is>
      </c>
      <c r="C88" t="inlineStr">
        <is>
          <t>Operations</t>
        </is>
      </c>
      <c r="D88" t="inlineStr">
        <is>
          <t>Operations Manager</t>
        </is>
      </c>
      <c r="E88" s="2" t="n">
        <v>45761</v>
      </c>
      <c r="F88" t="inlineStr">
        <is>
          <t>Interviewed</t>
        </is>
      </c>
      <c r="G88" s="2" t="n">
        <v>45766</v>
      </c>
      <c r="H88" s="2" t="n">
        <v>45770</v>
      </c>
      <c r="I88" s="3" t="n">
        <v>8322</v>
      </c>
      <c r="J88" t="inlineStr">
        <is>
          <t>Rejected</t>
        </is>
      </c>
      <c r="K88">
        <f>H88-G88</f>
        <v/>
      </c>
      <c r="L88" t="n">
        <v/>
      </c>
      <c r="M88" t="n">
        <v>0</v>
      </c>
      <c r="N88" t="n">
        <v>0</v>
      </c>
    </row>
    <row r="89">
      <c r="A89" t="inlineStr">
        <is>
          <t>CAND1088</t>
        </is>
      </c>
      <c r="B89" t="inlineStr">
        <is>
          <t>LinkedIn</t>
        </is>
      </c>
      <c r="C89" t="inlineStr">
        <is>
          <t>Operations</t>
        </is>
      </c>
      <c r="D89" t="inlineStr">
        <is>
          <t>Operations Executive</t>
        </is>
      </c>
      <c r="E89" s="2" t="n">
        <v>45665</v>
      </c>
      <c r="F89" t="inlineStr">
        <is>
          <t>Interviewed</t>
        </is>
      </c>
      <c r="G89" s="2" t="n">
        <v>45672</v>
      </c>
      <c r="H89" s="2" t="n">
        <v>45679</v>
      </c>
      <c r="I89" s="3" t="n">
        <v>13251</v>
      </c>
      <c r="J89" t="inlineStr">
        <is>
          <t>Rejected</t>
        </is>
      </c>
      <c r="K89">
        <f>H89-G89</f>
        <v/>
      </c>
      <c r="L89" t="n">
        <v/>
      </c>
      <c r="M89" t="n">
        <v>0</v>
      </c>
      <c r="N89" t="n">
        <v>0</v>
      </c>
    </row>
    <row r="90">
      <c r="A90" t="inlineStr">
        <is>
          <t>CAND1089</t>
        </is>
      </c>
      <c r="B90" t="inlineStr">
        <is>
          <t>Referral</t>
        </is>
      </c>
      <c r="C90" t="inlineStr">
        <is>
          <t>Marketing</t>
        </is>
      </c>
      <c r="D90" t="inlineStr">
        <is>
          <t>Marketing Manager</t>
        </is>
      </c>
      <c r="E90" s="2" t="n">
        <v>45897</v>
      </c>
      <c r="F90" t="inlineStr">
        <is>
          <t>Screened</t>
        </is>
      </c>
      <c r="G90" s="2" t="n">
        <v>45905</v>
      </c>
      <c r="H90" s="2" t="n">
        <v>45912</v>
      </c>
      <c r="I90" s="3" t="n">
        <v>12556</v>
      </c>
      <c r="J90" t="inlineStr">
        <is>
          <t>Rejected</t>
        </is>
      </c>
      <c r="K90">
        <f>H90-G90</f>
        <v/>
      </c>
      <c r="L90" t="n">
        <v/>
      </c>
      <c r="M90" t="n">
        <v>0</v>
      </c>
      <c r="N90" t="n">
        <v>0</v>
      </c>
    </row>
    <row r="91">
      <c r="A91" t="inlineStr">
        <is>
          <t>CAND1090</t>
        </is>
      </c>
      <c r="B91" t="inlineStr">
        <is>
          <t>LinkedIn</t>
        </is>
      </c>
      <c r="C91" t="inlineStr">
        <is>
          <t>Finance</t>
        </is>
      </c>
      <c r="D91" t="inlineStr">
        <is>
          <t>Finance Executive</t>
        </is>
      </c>
      <c r="E91" s="2" t="n">
        <v>45777</v>
      </c>
      <c r="F91" t="inlineStr">
        <is>
          <t>Screened</t>
        </is>
      </c>
      <c r="G91" s="2" t="n">
        <v>45787</v>
      </c>
      <c r="H91" s="2" t="n">
        <v>45793</v>
      </c>
      <c r="I91" s="3" t="n">
        <v>17936</v>
      </c>
      <c r="J91" t="inlineStr">
        <is>
          <t>Rejected</t>
        </is>
      </c>
      <c r="K91">
        <f>H91-G91</f>
        <v/>
      </c>
      <c r="L91" t="n">
        <v/>
      </c>
      <c r="M91" t="n">
        <v>0</v>
      </c>
      <c r="N91" t="n">
        <v>0</v>
      </c>
    </row>
    <row r="92">
      <c r="A92" t="inlineStr">
        <is>
          <t>CAND1091</t>
        </is>
      </c>
      <c r="B92" t="inlineStr">
        <is>
          <t>LinkedIn</t>
        </is>
      </c>
      <c r="C92" t="inlineStr">
        <is>
          <t>IT</t>
        </is>
      </c>
      <c r="D92" t="inlineStr">
        <is>
          <t>IT Manager</t>
        </is>
      </c>
      <c r="E92" s="2" t="n">
        <v>45805</v>
      </c>
      <c r="F92" t="inlineStr">
        <is>
          <t>Interviewed</t>
        </is>
      </c>
      <c r="G92" s="2" t="n">
        <v>45811</v>
      </c>
      <c r="H92" s="2" t="n">
        <v>45813</v>
      </c>
      <c r="I92" s="3" t="n">
        <v>4393</v>
      </c>
      <c r="J92" t="inlineStr">
        <is>
          <t>Rejected</t>
        </is>
      </c>
      <c r="K92">
        <f>H92-G92</f>
        <v/>
      </c>
      <c r="L92" t="n">
        <v/>
      </c>
      <c r="M92" t="n">
        <v>0</v>
      </c>
      <c r="N92" t="n">
        <v>0</v>
      </c>
    </row>
    <row r="93">
      <c r="A93" t="inlineStr">
        <is>
          <t>CAND1092</t>
        </is>
      </c>
      <c r="B93" t="inlineStr">
        <is>
          <t>LinkedIn</t>
        </is>
      </c>
      <c r="C93" t="inlineStr">
        <is>
          <t>HR</t>
        </is>
      </c>
      <c r="D93" t="inlineStr">
        <is>
          <t>HR Executive</t>
        </is>
      </c>
      <c r="E93" s="2" t="n">
        <v>45839</v>
      </c>
      <c r="F93" t="inlineStr">
        <is>
          <t>Offered</t>
        </is>
      </c>
      <c r="G93" s="2" t="n">
        <v>45842</v>
      </c>
      <c r="H93" s="2" t="n">
        <v>45849</v>
      </c>
      <c r="I93" s="3" t="n">
        <v>20260</v>
      </c>
      <c r="J93" t="inlineStr">
        <is>
          <t>Rejected</t>
        </is>
      </c>
      <c r="K93">
        <f>H93-G93</f>
        <v/>
      </c>
      <c r="L93" t="n">
        <v/>
      </c>
      <c r="M93" t="n">
        <v>0</v>
      </c>
      <c r="N93" t="n">
        <v>1</v>
      </c>
    </row>
    <row r="94">
      <c r="A94" t="inlineStr">
        <is>
          <t>CAND1093</t>
        </is>
      </c>
      <c r="B94" t="inlineStr">
        <is>
          <t>LinkedIn</t>
        </is>
      </c>
      <c r="C94" t="inlineStr">
        <is>
          <t>IT</t>
        </is>
      </c>
      <c r="D94" t="inlineStr">
        <is>
          <t>IT Executive</t>
        </is>
      </c>
      <c r="E94" s="2" t="n">
        <v>45892</v>
      </c>
      <c r="F94" t="inlineStr">
        <is>
          <t>Rejected</t>
        </is>
      </c>
      <c r="G94" s="2" t="n">
        <v>45895</v>
      </c>
      <c r="H94" s="2" t="n">
        <v>45900</v>
      </c>
      <c r="I94" s="3" t="n">
        <v>5398</v>
      </c>
      <c r="J94" t="inlineStr">
        <is>
          <t>Rejected</t>
        </is>
      </c>
      <c r="K94">
        <f>H94-G94</f>
        <v/>
      </c>
      <c r="L94" t="n">
        <v/>
      </c>
      <c r="M94" t="n">
        <v>0</v>
      </c>
      <c r="N94" t="n">
        <v>0</v>
      </c>
    </row>
    <row r="95">
      <c r="A95" t="inlineStr">
        <is>
          <t>CAND1094</t>
        </is>
      </c>
      <c r="B95" t="inlineStr">
        <is>
          <t>Job Portal</t>
        </is>
      </c>
      <c r="C95" t="inlineStr">
        <is>
          <t>Finance</t>
        </is>
      </c>
      <c r="D95" t="inlineStr">
        <is>
          <t>Finance Analyst</t>
        </is>
      </c>
      <c r="E95" s="2" t="n">
        <v>45768</v>
      </c>
      <c r="F95" t="inlineStr">
        <is>
          <t>Screened</t>
        </is>
      </c>
      <c r="G95" s="2" t="n">
        <v>45774</v>
      </c>
      <c r="H95" s="2" t="n">
        <v>45776</v>
      </c>
      <c r="I95" s="3" t="n">
        <v>7822</v>
      </c>
      <c r="J95" t="inlineStr">
        <is>
          <t>Rejected</t>
        </is>
      </c>
      <c r="K95">
        <f>H95-G95</f>
        <v/>
      </c>
      <c r="L95" t="n">
        <v/>
      </c>
      <c r="M95" t="n">
        <v>0</v>
      </c>
      <c r="N95" t="n">
        <v>0</v>
      </c>
    </row>
    <row r="96">
      <c r="A96" t="inlineStr">
        <is>
          <t>CAND1095</t>
        </is>
      </c>
      <c r="B96" t="inlineStr">
        <is>
          <t>Referral</t>
        </is>
      </c>
      <c r="C96" t="inlineStr">
        <is>
          <t>Marketing</t>
        </is>
      </c>
      <c r="D96" t="inlineStr">
        <is>
          <t>Marketing Manager</t>
        </is>
      </c>
      <c r="E96" s="2" t="n">
        <v>46021</v>
      </c>
      <c r="F96" t="inlineStr">
        <is>
          <t>Rejected</t>
        </is>
      </c>
      <c r="G96" s="2" t="n">
        <v>46027</v>
      </c>
      <c r="H96" s="2" t="n">
        <v>46031</v>
      </c>
      <c r="I96" s="3" t="n">
        <v>9531</v>
      </c>
      <c r="J96" t="inlineStr">
        <is>
          <t>Rejected</t>
        </is>
      </c>
      <c r="K96">
        <f>H96-G96</f>
        <v/>
      </c>
      <c r="L96" t="n">
        <v/>
      </c>
      <c r="M96" t="n">
        <v>0</v>
      </c>
      <c r="N96" t="n">
        <v>0</v>
      </c>
    </row>
    <row r="97">
      <c r="A97" t="inlineStr">
        <is>
          <t>CAND1096</t>
        </is>
      </c>
      <c r="B97" t="inlineStr">
        <is>
          <t>Job Portal</t>
        </is>
      </c>
      <c r="C97" t="inlineStr">
        <is>
          <t>Sales</t>
        </is>
      </c>
      <c r="D97" t="inlineStr">
        <is>
          <t>Sales Analyst</t>
        </is>
      </c>
      <c r="E97" s="2" t="n">
        <v>46022</v>
      </c>
      <c r="F97" t="inlineStr">
        <is>
          <t>Rejected</t>
        </is>
      </c>
      <c r="G97" s="2" t="n">
        <v>46031</v>
      </c>
      <c r="H97" s="2" t="n">
        <v>46033</v>
      </c>
      <c r="I97" s="3" t="n">
        <v>21410</v>
      </c>
      <c r="J97" t="inlineStr">
        <is>
          <t>Rejected</t>
        </is>
      </c>
      <c r="K97">
        <f>H97-G97</f>
        <v/>
      </c>
      <c r="L97" t="n">
        <v/>
      </c>
      <c r="M97" t="n">
        <v>0</v>
      </c>
      <c r="N97" t="n">
        <v>0</v>
      </c>
    </row>
    <row r="98">
      <c r="A98" t="inlineStr">
        <is>
          <t>CAND1097</t>
        </is>
      </c>
      <c r="B98" t="inlineStr">
        <is>
          <t>LinkedIn</t>
        </is>
      </c>
      <c r="C98" t="inlineStr">
        <is>
          <t>Finance</t>
        </is>
      </c>
      <c r="D98" t="inlineStr">
        <is>
          <t>Finance Analyst</t>
        </is>
      </c>
      <c r="E98" s="2" t="n">
        <v>45805</v>
      </c>
      <c r="F98" t="inlineStr">
        <is>
          <t>Screened</t>
        </is>
      </c>
      <c r="G98" s="2" t="n">
        <v>45810</v>
      </c>
      <c r="H98" s="2" t="n">
        <v>45813</v>
      </c>
      <c r="I98" s="3" t="n">
        <v>17637</v>
      </c>
      <c r="J98" t="inlineStr">
        <is>
          <t>Rejected</t>
        </is>
      </c>
      <c r="K98">
        <f>H98-G98</f>
        <v/>
      </c>
      <c r="L98" t="n">
        <v/>
      </c>
      <c r="M98" t="n">
        <v>0</v>
      </c>
      <c r="N98" t="n">
        <v>0</v>
      </c>
    </row>
    <row r="99">
      <c r="A99" t="inlineStr">
        <is>
          <t>CAND1098</t>
        </is>
      </c>
      <c r="B99" t="inlineStr">
        <is>
          <t>Referral</t>
        </is>
      </c>
      <c r="C99" t="inlineStr">
        <is>
          <t>Finance</t>
        </is>
      </c>
      <c r="D99" t="inlineStr">
        <is>
          <t>Finance Manager</t>
        </is>
      </c>
      <c r="E99" s="2" t="n">
        <v>45711</v>
      </c>
      <c r="F99" t="inlineStr">
        <is>
          <t>Rejected</t>
        </is>
      </c>
      <c r="G99" s="2" t="n">
        <v>45722</v>
      </c>
      <c r="H99" s="2" t="n">
        <v>45728</v>
      </c>
      <c r="I99" s="3" t="n">
        <v>6396</v>
      </c>
      <c r="J99" t="inlineStr">
        <is>
          <t>Rejected</t>
        </is>
      </c>
      <c r="K99">
        <f>H99-G99</f>
        <v/>
      </c>
      <c r="L99" t="n">
        <v/>
      </c>
      <c r="M99" t="n">
        <v>0</v>
      </c>
      <c r="N99" t="n">
        <v>0</v>
      </c>
    </row>
    <row r="100">
      <c r="A100" t="inlineStr">
        <is>
          <t>CAND1099</t>
        </is>
      </c>
      <c r="B100" t="inlineStr">
        <is>
          <t>Referral</t>
        </is>
      </c>
      <c r="C100" t="inlineStr">
        <is>
          <t>Operations</t>
        </is>
      </c>
      <c r="D100" t="inlineStr">
        <is>
          <t>Operations Manager</t>
        </is>
      </c>
      <c r="E100" s="2" t="n">
        <v>45977</v>
      </c>
      <c r="F100" t="inlineStr">
        <is>
          <t>Interviewed</t>
        </is>
      </c>
      <c r="G100" s="2" t="n">
        <v>45980</v>
      </c>
      <c r="H100" s="2" t="n">
        <v>45982</v>
      </c>
      <c r="I100" s="3" t="n">
        <v>22122</v>
      </c>
      <c r="J100" t="inlineStr">
        <is>
          <t>Rejected</t>
        </is>
      </c>
      <c r="K100">
        <f>H100-G100</f>
        <v/>
      </c>
      <c r="L100" t="n">
        <v/>
      </c>
      <c r="M100" t="n">
        <v>0</v>
      </c>
      <c r="N100" t="n">
        <v>0</v>
      </c>
    </row>
    <row r="101">
      <c r="A101" t="inlineStr">
        <is>
          <t>CAND1100</t>
        </is>
      </c>
      <c r="B101" t="inlineStr">
        <is>
          <t>Referral</t>
        </is>
      </c>
      <c r="C101" t="inlineStr">
        <is>
          <t>Marketing</t>
        </is>
      </c>
      <c r="D101" t="inlineStr">
        <is>
          <t>Marketing Manager</t>
        </is>
      </c>
      <c r="E101" s="2" t="n">
        <v>45664</v>
      </c>
      <c r="F101" t="inlineStr">
        <is>
          <t>Screened</t>
        </is>
      </c>
      <c r="G101" s="2" t="n">
        <v>45674</v>
      </c>
      <c r="H101" s="2" t="n">
        <v>45679</v>
      </c>
      <c r="I101" s="3" t="n">
        <v>24534</v>
      </c>
      <c r="J101" t="inlineStr">
        <is>
          <t>Rejected</t>
        </is>
      </c>
      <c r="K101">
        <f>H101-G101</f>
        <v/>
      </c>
      <c r="L101" t="n">
        <v/>
      </c>
      <c r="M101" t="n">
        <v>0</v>
      </c>
      <c r="N101" t="n">
        <v>0</v>
      </c>
    </row>
    <row r="102">
      <c r="A102" t="inlineStr">
        <is>
          <t>CAND1101</t>
        </is>
      </c>
      <c r="B102" t="inlineStr">
        <is>
          <t>Job Portal</t>
        </is>
      </c>
      <c r="C102" t="inlineStr">
        <is>
          <t>Sales</t>
        </is>
      </c>
      <c r="D102" t="inlineStr">
        <is>
          <t>Sales Executive</t>
        </is>
      </c>
      <c r="E102" s="2" t="n">
        <v>45993</v>
      </c>
      <c r="F102" t="inlineStr">
        <is>
          <t>Rejected</t>
        </is>
      </c>
      <c r="G102" s="2" t="n">
        <v>45996</v>
      </c>
      <c r="H102" s="2" t="n">
        <v>45999</v>
      </c>
      <c r="I102" s="3" t="n">
        <v>16682</v>
      </c>
      <c r="J102" t="inlineStr">
        <is>
          <t>Rejected</t>
        </is>
      </c>
      <c r="K102">
        <f>H102-G102</f>
        <v/>
      </c>
      <c r="L102" t="n">
        <v/>
      </c>
      <c r="M102" t="n">
        <v>0</v>
      </c>
      <c r="N102" t="n">
        <v>0</v>
      </c>
    </row>
    <row r="103">
      <c r="A103" t="inlineStr">
        <is>
          <t>CAND1102</t>
        </is>
      </c>
      <c r="B103" t="inlineStr">
        <is>
          <t>Referral</t>
        </is>
      </c>
      <c r="C103" t="inlineStr">
        <is>
          <t>HR</t>
        </is>
      </c>
      <c r="D103" t="inlineStr">
        <is>
          <t>HR Manager</t>
        </is>
      </c>
      <c r="E103" s="2" t="n">
        <v>45849</v>
      </c>
      <c r="F103" t="inlineStr">
        <is>
          <t>Hired</t>
        </is>
      </c>
      <c r="G103" s="2" t="n">
        <v>45860</v>
      </c>
      <c r="H103" s="2" t="n">
        <v>45862</v>
      </c>
      <c r="I103" s="3" t="n">
        <v>22396</v>
      </c>
      <c r="J103" t="inlineStr">
        <is>
          <t>Hired</t>
        </is>
      </c>
      <c r="K103">
        <f>H103-G103</f>
        <v/>
      </c>
      <c r="L103" t="n">
        <v>13</v>
      </c>
      <c r="M103" t="n">
        <v>1</v>
      </c>
      <c r="N103" t="n">
        <v>1</v>
      </c>
    </row>
    <row r="104">
      <c r="A104" t="inlineStr">
        <is>
          <t>CAND1103</t>
        </is>
      </c>
      <c r="B104" t="inlineStr">
        <is>
          <t>LinkedIn</t>
        </is>
      </c>
      <c r="C104" t="inlineStr">
        <is>
          <t>Sales</t>
        </is>
      </c>
      <c r="D104" t="inlineStr">
        <is>
          <t>Sales Manager</t>
        </is>
      </c>
      <c r="E104" s="2" t="n">
        <v>45888</v>
      </c>
      <c r="F104" t="inlineStr">
        <is>
          <t>Rejected</t>
        </is>
      </c>
      <c r="G104" s="2" t="n">
        <v>45898</v>
      </c>
      <c r="H104" s="2" t="n">
        <v>45901</v>
      </c>
      <c r="I104" s="3" t="n">
        <v>5101</v>
      </c>
      <c r="J104" t="inlineStr">
        <is>
          <t>Rejected</t>
        </is>
      </c>
      <c r="K104">
        <f>H104-G104</f>
        <v/>
      </c>
      <c r="L104" t="n">
        <v/>
      </c>
      <c r="M104" t="n">
        <v>0</v>
      </c>
      <c r="N104" t="n">
        <v>0</v>
      </c>
    </row>
    <row r="105">
      <c r="A105" t="inlineStr">
        <is>
          <t>CAND1104</t>
        </is>
      </c>
      <c r="B105" t="inlineStr">
        <is>
          <t>LinkedIn</t>
        </is>
      </c>
      <c r="C105" t="inlineStr">
        <is>
          <t>Operations</t>
        </is>
      </c>
      <c r="D105" t="inlineStr">
        <is>
          <t>Operations Analyst</t>
        </is>
      </c>
      <c r="E105" s="2" t="n">
        <v>45961</v>
      </c>
      <c r="F105" t="inlineStr">
        <is>
          <t>Hired</t>
        </is>
      </c>
      <c r="G105" s="2" t="n">
        <v>45969</v>
      </c>
      <c r="H105" s="2" t="n">
        <v>45975</v>
      </c>
      <c r="I105" s="3" t="n">
        <v>29634</v>
      </c>
      <c r="J105" t="inlineStr">
        <is>
          <t>Hired</t>
        </is>
      </c>
      <c r="K105">
        <f>H105-G105</f>
        <v/>
      </c>
      <c r="L105" t="n">
        <v>14</v>
      </c>
      <c r="M105" t="n">
        <v>1</v>
      </c>
      <c r="N105" t="n">
        <v>1</v>
      </c>
    </row>
    <row r="106">
      <c r="A106" t="inlineStr">
        <is>
          <t>CAND1105</t>
        </is>
      </c>
      <c r="B106" t="inlineStr">
        <is>
          <t>Campus</t>
        </is>
      </c>
      <c r="C106" t="inlineStr">
        <is>
          <t>Marketing</t>
        </is>
      </c>
      <c r="D106" t="inlineStr">
        <is>
          <t>Marketing Analyst</t>
        </is>
      </c>
      <c r="E106" s="2" t="n">
        <v>45792</v>
      </c>
      <c r="F106" t="inlineStr">
        <is>
          <t>Rejected</t>
        </is>
      </c>
      <c r="G106" s="2" t="n">
        <v>45800</v>
      </c>
      <c r="H106" s="2" t="n">
        <v>45803</v>
      </c>
      <c r="I106" s="3" t="n">
        <v>9754</v>
      </c>
      <c r="J106" t="inlineStr">
        <is>
          <t>Rejected</t>
        </is>
      </c>
      <c r="K106">
        <f>H106-G106</f>
        <v/>
      </c>
      <c r="L106" t="n">
        <v/>
      </c>
      <c r="M106" t="n">
        <v>0</v>
      </c>
      <c r="N106" t="n">
        <v>0</v>
      </c>
    </row>
    <row r="107">
      <c r="A107" t="inlineStr">
        <is>
          <t>CAND1106</t>
        </is>
      </c>
      <c r="B107" t="inlineStr">
        <is>
          <t>Referral</t>
        </is>
      </c>
      <c r="C107" t="inlineStr">
        <is>
          <t>Sales</t>
        </is>
      </c>
      <c r="D107" t="inlineStr">
        <is>
          <t>Sales Analyst</t>
        </is>
      </c>
      <c r="E107" s="2" t="n">
        <v>45699</v>
      </c>
      <c r="F107" t="inlineStr">
        <is>
          <t>Hired</t>
        </is>
      </c>
      <c r="G107" s="2" t="n">
        <v>45703</v>
      </c>
      <c r="H107" s="2" t="n">
        <v>45706</v>
      </c>
      <c r="I107" s="3" t="n">
        <v>32149</v>
      </c>
      <c r="J107" t="inlineStr">
        <is>
          <t>Hired</t>
        </is>
      </c>
      <c r="K107">
        <f>H107-G107</f>
        <v/>
      </c>
      <c r="L107" t="n">
        <v>7</v>
      </c>
      <c r="M107" t="n">
        <v>1</v>
      </c>
      <c r="N107" t="n">
        <v>1</v>
      </c>
    </row>
    <row r="108">
      <c r="A108" t="inlineStr">
        <is>
          <t>CAND1107</t>
        </is>
      </c>
      <c r="B108" t="inlineStr">
        <is>
          <t>Job Portal</t>
        </is>
      </c>
      <c r="C108" t="inlineStr">
        <is>
          <t>IT</t>
        </is>
      </c>
      <c r="D108" t="inlineStr">
        <is>
          <t>IT Executive</t>
        </is>
      </c>
      <c r="E108" s="2" t="n">
        <v>45767</v>
      </c>
      <c r="F108" t="inlineStr">
        <is>
          <t>Interviewed</t>
        </is>
      </c>
      <c r="G108" s="2" t="n">
        <v>45775</v>
      </c>
      <c r="H108" s="2" t="n">
        <v>45782</v>
      </c>
      <c r="I108" s="3" t="n">
        <v>17982</v>
      </c>
      <c r="J108" t="inlineStr">
        <is>
          <t>Rejected</t>
        </is>
      </c>
      <c r="K108">
        <f>H108-G108</f>
        <v/>
      </c>
      <c r="L108" t="n">
        <v/>
      </c>
      <c r="M108" t="n">
        <v>0</v>
      </c>
      <c r="N108" t="n">
        <v>0</v>
      </c>
    </row>
    <row r="109">
      <c r="A109" t="inlineStr">
        <is>
          <t>CAND1108</t>
        </is>
      </c>
      <c r="B109" t="inlineStr">
        <is>
          <t>Job Portal</t>
        </is>
      </c>
      <c r="C109" t="inlineStr">
        <is>
          <t>Sales</t>
        </is>
      </c>
      <c r="D109" t="inlineStr">
        <is>
          <t>Sales Analyst</t>
        </is>
      </c>
      <c r="E109" s="2" t="n">
        <v>45706</v>
      </c>
      <c r="F109" t="inlineStr">
        <is>
          <t>Rejected</t>
        </is>
      </c>
      <c r="G109" s="2" t="n">
        <v>45715</v>
      </c>
      <c r="H109" s="2" t="n">
        <v>45722</v>
      </c>
      <c r="I109" s="3" t="n">
        <v>3939</v>
      </c>
      <c r="J109" t="inlineStr">
        <is>
          <t>Rejected</t>
        </is>
      </c>
      <c r="K109">
        <f>H109-G109</f>
        <v/>
      </c>
      <c r="L109" t="n">
        <v/>
      </c>
      <c r="M109" t="n">
        <v>0</v>
      </c>
      <c r="N109" t="n">
        <v>0</v>
      </c>
    </row>
    <row r="110">
      <c r="A110" t="inlineStr">
        <is>
          <t>CAND1109</t>
        </is>
      </c>
      <c r="B110" t="inlineStr">
        <is>
          <t>LinkedIn</t>
        </is>
      </c>
      <c r="C110" t="inlineStr">
        <is>
          <t>Finance</t>
        </is>
      </c>
      <c r="D110" t="inlineStr">
        <is>
          <t>Finance Executive</t>
        </is>
      </c>
      <c r="E110" s="2" t="n">
        <v>45993</v>
      </c>
      <c r="F110" t="inlineStr">
        <is>
          <t>Screened</t>
        </is>
      </c>
      <c r="G110" s="2" t="n">
        <v>46000</v>
      </c>
      <c r="H110" s="2" t="n">
        <v>46006</v>
      </c>
      <c r="I110" s="3" t="n">
        <v>14351</v>
      </c>
      <c r="J110" t="inlineStr">
        <is>
          <t>Rejected</t>
        </is>
      </c>
      <c r="K110">
        <f>H110-G110</f>
        <v/>
      </c>
      <c r="L110" t="n">
        <v/>
      </c>
      <c r="M110" t="n">
        <v>0</v>
      </c>
      <c r="N110" t="n">
        <v>0</v>
      </c>
    </row>
    <row r="111">
      <c r="A111" t="inlineStr">
        <is>
          <t>CAND1110</t>
        </is>
      </c>
      <c r="B111" t="inlineStr">
        <is>
          <t>Job Portal</t>
        </is>
      </c>
      <c r="C111" t="inlineStr">
        <is>
          <t>Sales</t>
        </is>
      </c>
      <c r="D111" t="inlineStr">
        <is>
          <t>Sales Executive</t>
        </is>
      </c>
      <c r="E111" s="2" t="n">
        <v>45779</v>
      </c>
      <c r="F111" t="inlineStr">
        <is>
          <t>Rejected</t>
        </is>
      </c>
      <c r="G111" s="2" t="n">
        <v>45784</v>
      </c>
      <c r="H111" s="2" t="n">
        <v>45788</v>
      </c>
      <c r="I111" s="3" t="n">
        <v>17803</v>
      </c>
      <c r="J111" t="inlineStr">
        <is>
          <t>Rejected</t>
        </is>
      </c>
      <c r="K111">
        <f>H111-G111</f>
        <v/>
      </c>
      <c r="L111" t="n">
        <v/>
      </c>
      <c r="M111" t="n">
        <v>0</v>
      </c>
      <c r="N111" t="n">
        <v>0</v>
      </c>
    </row>
    <row r="112">
      <c r="A112" t="inlineStr">
        <is>
          <t>CAND1111</t>
        </is>
      </c>
      <c r="B112" t="inlineStr">
        <is>
          <t>LinkedIn</t>
        </is>
      </c>
      <c r="C112" t="inlineStr">
        <is>
          <t>Sales</t>
        </is>
      </c>
      <c r="D112" t="inlineStr">
        <is>
          <t>Sales Analyst</t>
        </is>
      </c>
      <c r="E112" s="2" t="n">
        <v>45819</v>
      </c>
      <c r="F112" t="inlineStr">
        <is>
          <t>Rejected</t>
        </is>
      </c>
      <c r="G112" s="2" t="n">
        <v>45821</v>
      </c>
      <c r="H112" s="2" t="n">
        <v>45826</v>
      </c>
      <c r="I112" s="3" t="n">
        <v>8533</v>
      </c>
      <c r="J112" t="inlineStr">
        <is>
          <t>Rejected</t>
        </is>
      </c>
      <c r="K112">
        <f>H112-G112</f>
        <v/>
      </c>
      <c r="L112" t="n">
        <v/>
      </c>
      <c r="M112" t="n">
        <v>0</v>
      </c>
      <c r="N112" t="n">
        <v>0</v>
      </c>
    </row>
    <row r="113">
      <c r="A113" t="inlineStr">
        <is>
          <t>CAND1112</t>
        </is>
      </c>
      <c r="B113" t="inlineStr">
        <is>
          <t>Job Portal</t>
        </is>
      </c>
      <c r="C113" t="inlineStr">
        <is>
          <t>Marketing</t>
        </is>
      </c>
      <c r="D113" t="inlineStr">
        <is>
          <t>Marketing Analyst</t>
        </is>
      </c>
      <c r="E113" s="2" t="n">
        <v>45722</v>
      </c>
      <c r="F113" t="inlineStr">
        <is>
          <t>Screened</t>
        </is>
      </c>
      <c r="G113" s="2" t="n">
        <v>45733</v>
      </c>
      <c r="H113" s="2" t="n">
        <v>45737</v>
      </c>
      <c r="I113" s="3" t="n">
        <v>22571</v>
      </c>
      <c r="J113" t="inlineStr">
        <is>
          <t>Rejected</t>
        </is>
      </c>
      <c r="K113">
        <f>H113-G113</f>
        <v/>
      </c>
      <c r="L113" t="n">
        <v/>
      </c>
      <c r="M113" t="n">
        <v>0</v>
      </c>
      <c r="N113" t="n">
        <v>0</v>
      </c>
    </row>
    <row r="114">
      <c r="A114" t="inlineStr">
        <is>
          <t>CAND1113</t>
        </is>
      </c>
      <c r="B114" t="inlineStr">
        <is>
          <t>Job Portal</t>
        </is>
      </c>
      <c r="C114" t="inlineStr">
        <is>
          <t>Finance</t>
        </is>
      </c>
      <c r="D114" t="inlineStr">
        <is>
          <t>Finance Executive</t>
        </is>
      </c>
      <c r="E114" s="2" t="n">
        <v>45849</v>
      </c>
      <c r="F114" t="inlineStr">
        <is>
          <t>Rejected</t>
        </is>
      </c>
      <c r="G114" s="2" t="n">
        <v>45855</v>
      </c>
      <c r="H114" s="2" t="n">
        <v>45858</v>
      </c>
      <c r="I114" s="3" t="n">
        <v>21623</v>
      </c>
      <c r="J114" t="inlineStr">
        <is>
          <t>Rejected</t>
        </is>
      </c>
      <c r="K114">
        <f>H114-G114</f>
        <v/>
      </c>
      <c r="L114" t="n">
        <v/>
      </c>
      <c r="M114" t="n">
        <v>0</v>
      </c>
      <c r="N114" t="n">
        <v>0</v>
      </c>
    </row>
    <row r="115">
      <c r="A115" t="inlineStr">
        <is>
          <t>CAND1114</t>
        </is>
      </c>
      <c r="B115" t="inlineStr">
        <is>
          <t>Job Portal</t>
        </is>
      </c>
      <c r="C115" t="inlineStr">
        <is>
          <t>HR</t>
        </is>
      </c>
      <c r="D115" t="inlineStr">
        <is>
          <t>HR Analyst</t>
        </is>
      </c>
      <c r="E115" s="2" t="n">
        <v>45821</v>
      </c>
      <c r="F115" t="inlineStr">
        <is>
          <t>Rejected</t>
        </is>
      </c>
      <c r="G115" s="2" t="n">
        <v>45825</v>
      </c>
      <c r="H115" s="2" t="n">
        <v>45832</v>
      </c>
      <c r="I115" s="3" t="n">
        <v>6883</v>
      </c>
      <c r="J115" t="inlineStr">
        <is>
          <t>Rejected</t>
        </is>
      </c>
      <c r="K115">
        <f>H115-G115</f>
        <v/>
      </c>
      <c r="L115" t="n">
        <v/>
      </c>
      <c r="M115" t="n">
        <v>0</v>
      </c>
      <c r="N115" t="n">
        <v>0</v>
      </c>
    </row>
    <row r="116">
      <c r="A116" t="inlineStr">
        <is>
          <t>CAND1115</t>
        </is>
      </c>
      <c r="B116" t="inlineStr">
        <is>
          <t>Job Portal</t>
        </is>
      </c>
      <c r="C116" t="inlineStr">
        <is>
          <t>IT</t>
        </is>
      </c>
      <c r="D116" t="inlineStr">
        <is>
          <t>IT Manager</t>
        </is>
      </c>
      <c r="E116" s="2" t="n">
        <v>45708</v>
      </c>
      <c r="F116" t="inlineStr">
        <is>
          <t>Rejected</t>
        </is>
      </c>
      <c r="G116" s="2" t="n">
        <v>45715</v>
      </c>
      <c r="H116" s="2" t="n">
        <v>45722</v>
      </c>
      <c r="I116" s="3" t="n">
        <v>11652</v>
      </c>
      <c r="J116" t="inlineStr">
        <is>
          <t>Rejected</t>
        </is>
      </c>
      <c r="K116">
        <f>H116-G116</f>
        <v/>
      </c>
      <c r="L116" t="n">
        <v/>
      </c>
      <c r="M116" t="n">
        <v>0</v>
      </c>
      <c r="N116" t="n">
        <v>0</v>
      </c>
    </row>
    <row r="117">
      <c r="A117" t="inlineStr">
        <is>
          <t>CAND1116</t>
        </is>
      </c>
      <c r="B117" t="inlineStr">
        <is>
          <t>Job Portal</t>
        </is>
      </c>
      <c r="C117" t="inlineStr">
        <is>
          <t>Marketing</t>
        </is>
      </c>
      <c r="D117" t="inlineStr">
        <is>
          <t>Marketing Analyst</t>
        </is>
      </c>
      <c r="E117" s="2" t="n">
        <v>45864</v>
      </c>
      <c r="F117" t="inlineStr">
        <is>
          <t>Rejected</t>
        </is>
      </c>
      <c r="G117" s="2" t="n">
        <v>45875</v>
      </c>
      <c r="H117" s="2" t="n">
        <v>45876</v>
      </c>
      <c r="I117" s="3" t="n">
        <v>18247</v>
      </c>
      <c r="J117" t="inlineStr">
        <is>
          <t>Rejected</t>
        </is>
      </c>
      <c r="K117">
        <f>H117-G117</f>
        <v/>
      </c>
      <c r="L117" t="n">
        <v/>
      </c>
      <c r="M117" t="n">
        <v>0</v>
      </c>
      <c r="N117" t="n">
        <v>0</v>
      </c>
    </row>
    <row r="118">
      <c r="A118" t="inlineStr">
        <is>
          <t>CAND1117</t>
        </is>
      </c>
      <c r="B118" t="inlineStr">
        <is>
          <t>Job Portal</t>
        </is>
      </c>
      <c r="C118" t="inlineStr">
        <is>
          <t>Sales</t>
        </is>
      </c>
      <c r="D118" t="inlineStr">
        <is>
          <t>Sales Executive</t>
        </is>
      </c>
      <c r="E118" s="2" t="n">
        <v>45796</v>
      </c>
      <c r="F118" t="inlineStr">
        <is>
          <t>Interviewed</t>
        </is>
      </c>
      <c r="G118" s="2" t="n">
        <v>45801</v>
      </c>
      <c r="H118" s="2" t="n">
        <v>45803</v>
      </c>
      <c r="I118" s="3" t="n">
        <v>4429</v>
      </c>
      <c r="J118" t="inlineStr">
        <is>
          <t>Rejected</t>
        </is>
      </c>
      <c r="K118">
        <f>H118-G118</f>
        <v/>
      </c>
      <c r="L118" t="n">
        <v/>
      </c>
      <c r="M118" t="n">
        <v>0</v>
      </c>
      <c r="N118" t="n">
        <v>0</v>
      </c>
    </row>
    <row r="119">
      <c r="A119" t="inlineStr">
        <is>
          <t>CAND1118</t>
        </is>
      </c>
      <c r="B119" t="inlineStr">
        <is>
          <t>Referral</t>
        </is>
      </c>
      <c r="C119" t="inlineStr">
        <is>
          <t>Marketing</t>
        </is>
      </c>
      <c r="D119" t="inlineStr">
        <is>
          <t>Marketing Analyst</t>
        </is>
      </c>
      <c r="E119" s="2" t="n">
        <v>45786</v>
      </c>
      <c r="F119" t="inlineStr">
        <is>
          <t>Interviewed</t>
        </is>
      </c>
      <c r="G119" s="2" t="n">
        <v>45792</v>
      </c>
      <c r="H119" s="2" t="n">
        <v>45798</v>
      </c>
      <c r="I119" s="3" t="n">
        <v>7691</v>
      </c>
      <c r="J119" t="inlineStr">
        <is>
          <t>Rejected</t>
        </is>
      </c>
      <c r="K119">
        <f>H119-G119</f>
        <v/>
      </c>
      <c r="L119" t="n">
        <v/>
      </c>
      <c r="M119" t="n">
        <v>0</v>
      </c>
      <c r="N119" t="n">
        <v>0</v>
      </c>
    </row>
    <row r="120">
      <c r="A120" t="inlineStr">
        <is>
          <t>CAND1119</t>
        </is>
      </c>
      <c r="B120" t="inlineStr">
        <is>
          <t>Job Portal</t>
        </is>
      </c>
      <c r="C120" t="inlineStr">
        <is>
          <t>HR</t>
        </is>
      </c>
      <c r="D120" t="inlineStr">
        <is>
          <t>HR Analyst</t>
        </is>
      </c>
      <c r="E120" s="2" t="n">
        <v>45949</v>
      </c>
      <c r="F120" t="inlineStr">
        <is>
          <t>Screened</t>
        </is>
      </c>
      <c r="G120" s="2" t="n">
        <v>45953</v>
      </c>
      <c r="H120" s="2" t="n">
        <v>45959</v>
      </c>
      <c r="I120" s="3" t="n">
        <v>14534</v>
      </c>
      <c r="J120" t="inlineStr">
        <is>
          <t>Rejected</t>
        </is>
      </c>
      <c r="K120">
        <f>H120-G120</f>
        <v/>
      </c>
      <c r="L120" t="n">
        <v/>
      </c>
      <c r="M120" t="n">
        <v>0</v>
      </c>
      <c r="N120" t="n">
        <v>0</v>
      </c>
    </row>
    <row r="121">
      <c r="A121" t="inlineStr">
        <is>
          <t>CAND1120</t>
        </is>
      </c>
      <c r="B121" t="inlineStr">
        <is>
          <t>Job Portal</t>
        </is>
      </c>
      <c r="C121" t="inlineStr">
        <is>
          <t>HR</t>
        </is>
      </c>
      <c r="D121" t="inlineStr">
        <is>
          <t>HR Executive</t>
        </is>
      </c>
      <c r="E121" s="2" t="n">
        <v>45719</v>
      </c>
      <c r="F121" t="inlineStr">
        <is>
          <t>Rejected</t>
        </is>
      </c>
      <c r="G121" s="2" t="n">
        <v>45730</v>
      </c>
      <c r="H121" s="2" t="n">
        <v>45733</v>
      </c>
      <c r="I121" s="3" t="n">
        <v>12018</v>
      </c>
      <c r="J121" t="inlineStr">
        <is>
          <t>Rejected</t>
        </is>
      </c>
      <c r="K121">
        <f>H121-G121</f>
        <v/>
      </c>
      <c r="L121" t="n">
        <v/>
      </c>
      <c r="M121" t="n">
        <v>0</v>
      </c>
      <c r="N121" t="n">
        <v>0</v>
      </c>
    </row>
    <row r="122">
      <c r="A122" t="inlineStr">
        <is>
          <t>CAND1121</t>
        </is>
      </c>
      <c r="B122" t="inlineStr">
        <is>
          <t>LinkedIn</t>
        </is>
      </c>
      <c r="C122" t="inlineStr">
        <is>
          <t>Marketing</t>
        </is>
      </c>
      <c r="D122" t="inlineStr">
        <is>
          <t>Marketing Manager</t>
        </is>
      </c>
      <c r="E122" s="2" t="n">
        <v>45701</v>
      </c>
      <c r="F122" t="inlineStr">
        <is>
          <t>Screened</t>
        </is>
      </c>
      <c r="G122" s="2" t="n">
        <v>45710</v>
      </c>
      <c r="H122" s="2" t="n">
        <v>45712</v>
      </c>
      <c r="I122" s="3" t="n">
        <v>9717</v>
      </c>
      <c r="J122" t="inlineStr">
        <is>
          <t>Rejected</t>
        </is>
      </c>
      <c r="K122">
        <f>H122-G122</f>
        <v/>
      </c>
      <c r="L122" t="n">
        <v/>
      </c>
      <c r="M122" t="n">
        <v>0</v>
      </c>
      <c r="N122" t="n">
        <v>0</v>
      </c>
    </row>
    <row r="123">
      <c r="A123" t="inlineStr">
        <is>
          <t>CAND1122</t>
        </is>
      </c>
      <c r="B123" t="inlineStr">
        <is>
          <t>LinkedIn</t>
        </is>
      </c>
      <c r="C123" t="inlineStr">
        <is>
          <t>Marketing</t>
        </is>
      </c>
      <c r="D123" t="inlineStr">
        <is>
          <t>Marketing Manager</t>
        </is>
      </c>
      <c r="E123" s="2" t="n">
        <v>45782</v>
      </c>
      <c r="F123" t="inlineStr">
        <is>
          <t>Offered</t>
        </is>
      </c>
      <c r="G123" s="2" t="n">
        <v>45788</v>
      </c>
      <c r="H123" s="2" t="n">
        <v>45794</v>
      </c>
      <c r="I123" s="3" t="n">
        <v>14743</v>
      </c>
      <c r="J123" t="inlineStr">
        <is>
          <t>Rejected</t>
        </is>
      </c>
      <c r="K123">
        <f>H123-G123</f>
        <v/>
      </c>
      <c r="L123" t="n">
        <v/>
      </c>
      <c r="M123" t="n">
        <v>0</v>
      </c>
      <c r="N123" t="n">
        <v>1</v>
      </c>
    </row>
    <row r="124">
      <c r="A124" t="inlineStr">
        <is>
          <t>CAND1123</t>
        </is>
      </c>
      <c r="B124" t="inlineStr">
        <is>
          <t>Referral</t>
        </is>
      </c>
      <c r="C124" t="inlineStr">
        <is>
          <t>Sales</t>
        </is>
      </c>
      <c r="D124" t="inlineStr">
        <is>
          <t>Sales Manager</t>
        </is>
      </c>
      <c r="E124" s="2" t="n">
        <v>45981</v>
      </c>
      <c r="F124" t="inlineStr">
        <is>
          <t>Screened</t>
        </is>
      </c>
      <c r="G124" s="2" t="n">
        <v>45989</v>
      </c>
      <c r="H124" s="2" t="n">
        <v>45990</v>
      </c>
      <c r="I124" s="3" t="n">
        <v>4850</v>
      </c>
      <c r="J124" t="inlineStr">
        <is>
          <t>Rejected</t>
        </is>
      </c>
      <c r="K124">
        <f>H124-G124</f>
        <v/>
      </c>
      <c r="L124" t="n">
        <v/>
      </c>
      <c r="M124" t="n">
        <v>0</v>
      </c>
      <c r="N124" t="n">
        <v>0</v>
      </c>
    </row>
    <row r="125">
      <c r="A125" t="inlineStr">
        <is>
          <t>CAND1124</t>
        </is>
      </c>
      <c r="B125" t="inlineStr">
        <is>
          <t>LinkedIn</t>
        </is>
      </c>
      <c r="C125" t="inlineStr">
        <is>
          <t>Operations</t>
        </is>
      </c>
      <c r="D125" t="inlineStr">
        <is>
          <t>Operations Executive</t>
        </is>
      </c>
      <c r="E125" s="2" t="n">
        <v>45879</v>
      </c>
      <c r="F125" t="inlineStr">
        <is>
          <t>Rejected</t>
        </is>
      </c>
      <c r="G125" s="2" t="n">
        <v>45886</v>
      </c>
      <c r="H125" s="2" t="n">
        <v>45891</v>
      </c>
      <c r="I125" s="3" t="n">
        <v>24924</v>
      </c>
      <c r="J125" t="inlineStr">
        <is>
          <t>Rejected</t>
        </is>
      </c>
      <c r="K125">
        <f>H125-G125</f>
        <v/>
      </c>
      <c r="L125" t="n">
        <v/>
      </c>
      <c r="M125" t="n">
        <v>0</v>
      </c>
      <c r="N125" t="n">
        <v>0</v>
      </c>
    </row>
    <row r="126">
      <c r="A126" t="inlineStr">
        <is>
          <t>CAND1125</t>
        </is>
      </c>
      <c r="B126" t="inlineStr">
        <is>
          <t>Job Portal</t>
        </is>
      </c>
      <c r="C126" t="inlineStr">
        <is>
          <t>Sales</t>
        </is>
      </c>
      <c r="D126" t="inlineStr">
        <is>
          <t>Sales Analyst</t>
        </is>
      </c>
      <c r="E126" s="2" t="n">
        <v>45785</v>
      </c>
      <c r="F126" t="inlineStr">
        <is>
          <t>Screened</t>
        </is>
      </c>
      <c r="G126" s="2" t="n">
        <v>45789</v>
      </c>
      <c r="H126" s="2" t="n">
        <v>45791</v>
      </c>
      <c r="I126" s="3" t="n">
        <v>9756</v>
      </c>
      <c r="J126" t="inlineStr">
        <is>
          <t>Rejected</t>
        </is>
      </c>
      <c r="K126">
        <f>H126-G126</f>
        <v/>
      </c>
      <c r="L126" t="n">
        <v/>
      </c>
      <c r="M126" t="n">
        <v>0</v>
      </c>
      <c r="N126" t="n">
        <v>0</v>
      </c>
    </row>
    <row r="127">
      <c r="A127" t="inlineStr">
        <is>
          <t>CAND1126</t>
        </is>
      </c>
      <c r="B127" t="inlineStr">
        <is>
          <t>Job Portal</t>
        </is>
      </c>
      <c r="C127" t="inlineStr">
        <is>
          <t>IT</t>
        </is>
      </c>
      <c r="D127" t="inlineStr">
        <is>
          <t>IT Executive</t>
        </is>
      </c>
      <c r="E127" s="2" t="n">
        <v>45728</v>
      </c>
      <c r="F127" t="inlineStr">
        <is>
          <t>Screened</t>
        </is>
      </c>
      <c r="G127" s="2" t="n">
        <v>45735</v>
      </c>
      <c r="H127" s="2" t="n">
        <v>45738</v>
      </c>
      <c r="I127" s="3" t="n">
        <v>22771</v>
      </c>
      <c r="J127" t="inlineStr">
        <is>
          <t>Rejected</t>
        </is>
      </c>
      <c r="K127">
        <f>H127-G127</f>
        <v/>
      </c>
      <c r="L127" t="n">
        <v/>
      </c>
      <c r="M127" t="n">
        <v>0</v>
      </c>
      <c r="N127" t="n">
        <v>0</v>
      </c>
    </row>
    <row r="128">
      <c r="A128" t="inlineStr">
        <is>
          <t>CAND1127</t>
        </is>
      </c>
      <c r="B128" t="inlineStr">
        <is>
          <t>Job Portal</t>
        </is>
      </c>
      <c r="C128" t="inlineStr">
        <is>
          <t>Finance</t>
        </is>
      </c>
      <c r="D128" t="inlineStr">
        <is>
          <t>Finance Manager</t>
        </is>
      </c>
      <c r="E128" s="2" t="n">
        <v>45896</v>
      </c>
      <c r="F128" t="inlineStr">
        <is>
          <t>Hired</t>
        </is>
      </c>
      <c r="G128" s="2" t="n">
        <v>45906</v>
      </c>
      <c r="H128" s="2" t="n">
        <v>45909</v>
      </c>
      <c r="I128" s="3" t="n">
        <v>21170</v>
      </c>
      <c r="J128" t="inlineStr">
        <is>
          <t>Hired</t>
        </is>
      </c>
      <c r="K128">
        <f>H128-G128</f>
        <v/>
      </c>
      <c r="L128" t="n">
        <v>13</v>
      </c>
      <c r="M128" t="n">
        <v>1</v>
      </c>
      <c r="N128" t="n">
        <v>1</v>
      </c>
    </row>
    <row r="129">
      <c r="A129" t="inlineStr">
        <is>
          <t>CAND1128</t>
        </is>
      </c>
      <c r="B129" t="inlineStr">
        <is>
          <t>LinkedIn</t>
        </is>
      </c>
      <c r="C129" t="inlineStr">
        <is>
          <t>Sales</t>
        </is>
      </c>
      <c r="D129" t="inlineStr">
        <is>
          <t>Sales Manager</t>
        </is>
      </c>
      <c r="E129" s="2" t="n">
        <v>45803</v>
      </c>
      <c r="F129" t="inlineStr">
        <is>
          <t>Hired</t>
        </is>
      </c>
      <c r="G129" s="2" t="n">
        <v>45810</v>
      </c>
      <c r="H129" s="2" t="n">
        <v>45812</v>
      </c>
      <c r="I129" s="3" t="n">
        <v>30105</v>
      </c>
      <c r="J129" t="inlineStr">
        <is>
          <t>Hired</t>
        </is>
      </c>
      <c r="K129">
        <f>H129-G129</f>
        <v/>
      </c>
      <c r="L129" t="n">
        <v>9</v>
      </c>
      <c r="M129" t="n">
        <v>1</v>
      </c>
      <c r="N129" t="n">
        <v>1</v>
      </c>
    </row>
    <row r="130">
      <c r="A130" t="inlineStr">
        <is>
          <t>CAND1129</t>
        </is>
      </c>
      <c r="B130" t="inlineStr">
        <is>
          <t>LinkedIn</t>
        </is>
      </c>
      <c r="C130" t="inlineStr">
        <is>
          <t>Sales</t>
        </is>
      </c>
      <c r="D130" t="inlineStr">
        <is>
          <t>Sales Manager</t>
        </is>
      </c>
      <c r="E130" s="2" t="n">
        <v>45883</v>
      </c>
      <c r="F130" t="inlineStr">
        <is>
          <t>Hired</t>
        </is>
      </c>
      <c r="G130" s="2" t="n">
        <v>45892</v>
      </c>
      <c r="H130" s="2" t="n">
        <v>45899</v>
      </c>
      <c r="I130" s="3" t="n">
        <v>17421</v>
      </c>
      <c r="J130" t="inlineStr">
        <is>
          <t>Hired</t>
        </is>
      </c>
      <c r="K130">
        <f>H130-G130</f>
        <v/>
      </c>
      <c r="L130" t="n">
        <v>16</v>
      </c>
      <c r="M130" t="n">
        <v>1</v>
      </c>
      <c r="N130" t="n">
        <v>1</v>
      </c>
    </row>
    <row r="131">
      <c r="A131" t="inlineStr">
        <is>
          <t>CAND1130</t>
        </is>
      </c>
      <c r="B131" t="inlineStr">
        <is>
          <t>LinkedIn</t>
        </is>
      </c>
      <c r="C131" t="inlineStr">
        <is>
          <t>HR</t>
        </is>
      </c>
      <c r="D131" t="inlineStr">
        <is>
          <t>HR Analyst</t>
        </is>
      </c>
      <c r="E131" s="2" t="n">
        <v>45957</v>
      </c>
      <c r="F131" t="inlineStr">
        <is>
          <t>Screened</t>
        </is>
      </c>
      <c r="G131" s="2" t="n">
        <v>45959</v>
      </c>
      <c r="H131" s="2" t="n">
        <v>45961</v>
      </c>
      <c r="I131" s="3" t="n">
        <v>24758</v>
      </c>
      <c r="J131" t="inlineStr">
        <is>
          <t>Rejected</t>
        </is>
      </c>
      <c r="K131">
        <f>H131-G131</f>
        <v/>
      </c>
      <c r="L131" t="n">
        <v/>
      </c>
      <c r="M131" t="n">
        <v>0</v>
      </c>
      <c r="N131" t="n">
        <v>0</v>
      </c>
    </row>
    <row r="132">
      <c r="A132" t="inlineStr">
        <is>
          <t>CAND1131</t>
        </is>
      </c>
      <c r="B132" t="inlineStr">
        <is>
          <t>Campus</t>
        </is>
      </c>
      <c r="C132" t="inlineStr">
        <is>
          <t>Operations</t>
        </is>
      </c>
      <c r="D132" t="inlineStr">
        <is>
          <t>Operations Manager</t>
        </is>
      </c>
      <c r="E132" s="2" t="n">
        <v>45832</v>
      </c>
      <c r="F132" t="inlineStr">
        <is>
          <t>Interviewed</t>
        </is>
      </c>
      <c r="G132" s="2" t="n">
        <v>45835</v>
      </c>
      <c r="H132" s="2" t="n">
        <v>45837</v>
      </c>
      <c r="I132" s="3" t="n">
        <v>9694</v>
      </c>
      <c r="J132" t="inlineStr">
        <is>
          <t>Rejected</t>
        </is>
      </c>
      <c r="K132">
        <f>H132-G132</f>
        <v/>
      </c>
      <c r="L132" t="n">
        <v/>
      </c>
      <c r="M132" t="n">
        <v>0</v>
      </c>
      <c r="N132" t="n">
        <v>0</v>
      </c>
    </row>
    <row r="133">
      <c r="A133" t="inlineStr">
        <is>
          <t>CAND1132</t>
        </is>
      </c>
      <c r="B133" t="inlineStr">
        <is>
          <t>Referral</t>
        </is>
      </c>
      <c r="C133" t="inlineStr">
        <is>
          <t>IT</t>
        </is>
      </c>
      <c r="D133" t="inlineStr">
        <is>
          <t>IT Analyst</t>
        </is>
      </c>
      <c r="E133" s="2" t="n">
        <v>45882</v>
      </c>
      <c r="F133" t="inlineStr">
        <is>
          <t>Rejected</t>
        </is>
      </c>
      <c r="G133" s="2" t="n">
        <v>45886</v>
      </c>
      <c r="H133" s="2" t="n">
        <v>45888</v>
      </c>
      <c r="I133" s="3" t="n">
        <v>12062</v>
      </c>
      <c r="J133" t="inlineStr">
        <is>
          <t>Rejected</t>
        </is>
      </c>
      <c r="K133">
        <f>H133-G133</f>
        <v/>
      </c>
      <c r="L133" t="n">
        <v/>
      </c>
      <c r="M133" t="n">
        <v>0</v>
      </c>
      <c r="N133" t="n">
        <v>0</v>
      </c>
    </row>
    <row r="134">
      <c r="A134" t="inlineStr">
        <is>
          <t>CAND1133</t>
        </is>
      </c>
      <c r="B134" t="inlineStr">
        <is>
          <t>Job Portal</t>
        </is>
      </c>
      <c r="C134" t="inlineStr">
        <is>
          <t>HR</t>
        </is>
      </c>
      <c r="D134" t="inlineStr">
        <is>
          <t>HR Analyst</t>
        </is>
      </c>
      <c r="E134" s="2" t="n">
        <v>45926</v>
      </c>
      <c r="F134" t="inlineStr">
        <is>
          <t>Screened</t>
        </is>
      </c>
      <c r="G134" s="2" t="n">
        <v>45930</v>
      </c>
      <c r="H134" s="2" t="n">
        <v>45937</v>
      </c>
      <c r="I134" s="3" t="n">
        <v>13875</v>
      </c>
      <c r="J134" t="inlineStr">
        <is>
          <t>Rejected</t>
        </is>
      </c>
      <c r="K134">
        <f>H134-G134</f>
        <v/>
      </c>
      <c r="L134" t="n">
        <v/>
      </c>
      <c r="M134" t="n">
        <v>0</v>
      </c>
      <c r="N134" t="n">
        <v>0</v>
      </c>
    </row>
    <row r="135">
      <c r="A135" t="inlineStr">
        <is>
          <t>CAND1134</t>
        </is>
      </c>
      <c r="B135" t="inlineStr">
        <is>
          <t>Job Portal</t>
        </is>
      </c>
      <c r="C135" t="inlineStr">
        <is>
          <t>HR</t>
        </is>
      </c>
      <c r="D135" t="inlineStr">
        <is>
          <t>HR Analyst</t>
        </is>
      </c>
      <c r="E135" s="2" t="n">
        <v>45675</v>
      </c>
      <c r="F135" t="inlineStr">
        <is>
          <t>Interviewed</t>
        </is>
      </c>
      <c r="G135" s="2" t="n">
        <v>45681</v>
      </c>
      <c r="H135" s="2" t="n">
        <v>45688</v>
      </c>
      <c r="I135" s="3" t="n">
        <v>8407</v>
      </c>
      <c r="J135" t="inlineStr">
        <is>
          <t>Rejected</t>
        </is>
      </c>
      <c r="K135">
        <f>H135-G135</f>
        <v/>
      </c>
      <c r="L135" t="n">
        <v/>
      </c>
      <c r="M135" t="n">
        <v>0</v>
      </c>
      <c r="N135" t="n">
        <v>0</v>
      </c>
    </row>
    <row r="136">
      <c r="A136" t="inlineStr">
        <is>
          <t>CAND1135</t>
        </is>
      </c>
      <c r="B136" t="inlineStr">
        <is>
          <t>Job Portal</t>
        </is>
      </c>
      <c r="C136" t="inlineStr">
        <is>
          <t>Sales</t>
        </is>
      </c>
      <c r="D136" t="inlineStr">
        <is>
          <t>Sales Manager</t>
        </is>
      </c>
      <c r="E136" s="2" t="n">
        <v>45737</v>
      </c>
      <c r="F136" t="inlineStr">
        <is>
          <t>Screened</t>
        </is>
      </c>
      <c r="G136" s="2" t="n">
        <v>45743</v>
      </c>
      <c r="H136" s="2" t="n">
        <v>45750</v>
      </c>
      <c r="I136" s="3" t="n">
        <v>3936</v>
      </c>
      <c r="J136" t="inlineStr">
        <is>
          <t>Rejected</t>
        </is>
      </c>
      <c r="K136">
        <f>H136-G136</f>
        <v/>
      </c>
      <c r="L136" t="n">
        <v/>
      </c>
      <c r="M136" t="n">
        <v>0</v>
      </c>
      <c r="N136" t="n">
        <v>0</v>
      </c>
    </row>
    <row r="137">
      <c r="A137" t="inlineStr">
        <is>
          <t>CAND1136</t>
        </is>
      </c>
      <c r="B137" t="inlineStr">
        <is>
          <t>Referral</t>
        </is>
      </c>
      <c r="C137" t="inlineStr">
        <is>
          <t>Sales</t>
        </is>
      </c>
      <c r="D137" t="inlineStr">
        <is>
          <t>Sales Executive</t>
        </is>
      </c>
      <c r="E137" s="2" t="n">
        <v>45905</v>
      </c>
      <c r="F137" t="inlineStr">
        <is>
          <t>Interviewed</t>
        </is>
      </c>
      <c r="G137" s="2" t="n">
        <v>45910</v>
      </c>
      <c r="H137" s="2" t="n">
        <v>45917</v>
      </c>
      <c r="I137" s="3" t="n">
        <v>14172</v>
      </c>
      <c r="J137" t="inlineStr">
        <is>
          <t>Rejected</t>
        </is>
      </c>
      <c r="K137">
        <f>H137-G137</f>
        <v/>
      </c>
      <c r="L137" t="n">
        <v/>
      </c>
      <c r="M137" t="n">
        <v>0</v>
      </c>
      <c r="N137" t="n">
        <v>0</v>
      </c>
    </row>
    <row r="138">
      <c r="A138" t="inlineStr">
        <is>
          <t>CAND1137</t>
        </is>
      </c>
      <c r="B138" t="inlineStr">
        <is>
          <t>Referral</t>
        </is>
      </c>
      <c r="C138" t="inlineStr">
        <is>
          <t>Operations</t>
        </is>
      </c>
      <c r="D138" t="inlineStr">
        <is>
          <t>Operations Manager</t>
        </is>
      </c>
      <c r="E138" s="2" t="n">
        <v>46008</v>
      </c>
      <c r="F138" t="inlineStr">
        <is>
          <t>Screened</t>
        </is>
      </c>
      <c r="G138" s="2" t="n">
        <v>46014</v>
      </c>
      <c r="H138" s="2" t="n">
        <v>46019</v>
      </c>
      <c r="I138" s="3" t="n">
        <v>21433</v>
      </c>
      <c r="J138" t="inlineStr">
        <is>
          <t>Rejected</t>
        </is>
      </c>
      <c r="K138">
        <f>H138-G138</f>
        <v/>
      </c>
      <c r="L138" t="n">
        <v/>
      </c>
      <c r="M138" t="n">
        <v>0</v>
      </c>
      <c r="N138" t="n">
        <v>0</v>
      </c>
    </row>
    <row r="139">
      <c r="A139" t="inlineStr">
        <is>
          <t>CAND1138</t>
        </is>
      </c>
      <c r="B139" t="inlineStr">
        <is>
          <t>Campus</t>
        </is>
      </c>
      <c r="C139" t="inlineStr">
        <is>
          <t>IT</t>
        </is>
      </c>
      <c r="D139" t="inlineStr">
        <is>
          <t>IT Manager</t>
        </is>
      </c>
      <c r="E139" s="2" t="n">
        <v>45872</v>
      </c>
      <c r="F139" t="inlineStr">
        <is>
          <t>Offered</t>
        </is>
      </c>
      <c r="G139" s="2" t="n">
        <v>45876</v>
      </c>
      <c r="H139" s="2" t="n">
        <v>45879</v>
      </c>
      <c r="I139" s="3" t="n">
        <v>6606</v>
      </c>
      <c r="J139" t="inlineStr">
        <is>
          <t>Rejected</t>
        </is>
      </c>
      <c r="K139">
        <f>H139-G139</f>
        <v/>
      </c>
      <c r="L139" t="n">
        <v/>
      </c>
      <c r="M139" t="n">
        <v>0</v>
      </c>
      <c r="N139" t="n">
        <v>1</v>
      </c>
    </row>
    <row r="140">
      <c r="A140" t="inlineStr">
        <is>
          <t>CAND1139</t>
        </is>
      </c>
      <c r="B140" t="inlineStr">
        <is>
          <t>Job Portal</t>
        </is>
      </c>
      <c r="C140" t="inlineStr">
        <is>
          <t>HR</t>
        </is>
      </c>
      <c r="D140" t="inlineStr">
        <is>
          <t>HR Analyst</t>
        </is>
      </c>
      <c r="E140" s="2" t="n">
        <v>45726</v>
      </c>
      <c r="F140" t="inlineStr">
        <is>
          <t>Screened</t>
        </is>
      </c>
      <c r="G140" s="2" t="n">
        <v>45728</v>
      </c>
      <c r="H140" s="2" t="n">
        <v>45733</v>
      </c>
      <c r="I140" s="3" t="n">
        <v>5486</v>
      </c>
      <c r="J140" t="inlineStr">
        <is>
          <t>Rejected</t>
        </is>
      </c>
      <c r="K140">
        <f>H140-G140</f>
        <v/>
      </c>
      <c r="L140" t="n">
        <v/>
      </c>
      <c r="M140" t="n">
        <v>0</v>
      </c>
      <c r="N140" t="n">
        <v>0</v>
      </c>
    </row>
    <row r="141">
      <c r="A141" t="inlineStr">
        <is>
          <t>CAND1140</t>
        </is>
      </c>
      <c r="B141" t="inlineStr">
        <is>
          <t>Job Portal</t>
        </is>
      </c>
      <c r="C141" t="inlineStr">
        <is>
          <t>Marketing</t>
        </is>
      </c>
      <c r="D141" t="inlineStr">
        <is>
          <t>Marketing Manager</t>
        </is>
      </c>
      <c r="E141" s="2" t="n">
        <v>46001</v>
      </c>
      <c r="F141" t="inlineStr">
        <is>
          <t>Rejected</t>
        </is>
      </c>
      <c r="G141" s="2" t="n">
        <v>46010</v>
      </c>
      <c r="H141" s="2" t="n">
        <v>46016</v>
      </c>
      <c r="I141" s="3" t="n">
        <v>5959</v>
      </c>
      <c r="J141" t="inlineStr">
        <is>
          <t>Rejected</t>
        </is>
      </c>
      <c r="K141">
        <f>H141-G141</f>
        <v/>
      </c>
      <c r="L141" t="n">
        <v/>
      </c>
      <c r="M141" t="n">
        <v>0</v>
      </c>
      <c r="N141" t="n">
        <v>0</v>
      </c>
    </row>
    <row r="142">
      <c r="A142" t="inlineStr">
        <is>
          <t>CAND1141</t>
        </is>
      </c>
      <c r="B142" t="inlineStr">
        <is>
          <t>Referral</t>
        </is>
      </c>
      <c r="C142" t="inlineStr">
        <is>
          <t>Finance</t>
        </is>
      </c>
      <c r="D142" t="inlineStr">
        <is>
          <t>Finance Analyst</t>
        </is>
      </c>
      <c r="E142" s="2" t="n">
        <v>45852</v>
      </c>
      <c r="F142" t="inlineStr">
        <is>
          <t>Screened</t>
        </is>
      </c>
      <c r="G142" s="2" t="n">
        <v>45856</v>
      </c>
      <c r="H142" s="2" t="n">
        <v>45863</v>
      </c>
      <c r="I142" s="3" t="n">
        <v>8957</v>
      </c>
      <c r="J142" t="inlineStr">
        <is>
          <t>Rejected</t>
        </is>
      </c>
      <c r="K142">
        <f>H142-G142</f>
        <v/>
      </c>
      <c r="L142" t="n">
        <v/>
      </c>
      <c r="M142" t="n">
        <v>0</v>
      </c>
      <c r="N142" t="n">
        <v>0</v>
      </c>
    </row>
    <row r="143">
      <c r="A143" t="inlineStr">
        <is>
          <t>CAND1142</t>
        </is>
      </c>
      <c r="B143" t="inlineStr">
        <is>
          <t>Job Portal</t>
        </is>
      </c>
      <c r="C143" t="inlineStr">
        <is>
          <t>HR</t>
        </is>
      </c>
      <c r="D143" t="inlineStr">
        <is>
          <t>HR Manager</t>
        </is>
      </c>
      <c r="E143" s="2" t="n">
        <v>45995</v>
      </c>
      <c r="F143" t="inlineStr">
        <is>
          <t>Hired</t>
        </is>
      </c>
      <c r="G143" s="2" t="n">
        <v>45998</v>
      </c>
      <c r="H143" s="2" t="n">
        <v>45999</v>
      </c>
      <c r="I143" s="3" t="n">
        <v>27168</v>
      </c>
      <c r="J143" t="inlineStr">
        <is>
          <t>Hired</t>
        </is>
      </c>
      <c r="K143">
        <f>H143-G143</f>
        <v/>
      </c>
      <c r="L143" t="n">
        <v>4</v>
      </c>
      <c r="M143" t="n">
        <v>1</v>
      </c>
      <c r="N143" t="n">
        <v>1</v>
      </c>
    </row>
    <row r="144">
      <c r="A144" t="inlineStr">
        <is>
          <t>CAND1143</t>
        </is>
      </c>
      <c r="B144" t="inlineStr">
        <is>
          <t>LinkedIn</t>
        </is>
      </c>
      <c r="C144" t="inlineStr">
        <is>
          <t>Operations</t>
        </is>
      </c>
      <c r="D144" t="inlineStr">
        <is>
          <t>Operations Executive</t>
        </is>
      </c>
      <c r="E144" s="2" t="n">
        <v>45883</v>
      </c>
      <c r="F144" t="inlineStr">
        <is>
          <t>Offered</t>
        </is>
      </c>
      <c r="G144" s="2" t="n">
        <v>45891</v>
      </c>
      <c r="H144" s="2" t="n">
        <v>45892</v>
      </c>
      <c r="I144" s="3" t="n">
        <v>9627</v>
      </c>
      <c r="J144" t="inlineStr">
        <is>
          <t>Rejected</t>
        </is>
      </c>
      <c r="K144">
        <f>H144-G144</f>
        <v/>
      </c>
      <c r="L144" t="n">
        <v/>
      </c>
      <c r="M144" t="n">
        <v>0</v>
      </c>
      <c r="N144" t="n">
        <v>1</v>
      </c>
    </row>
    <row r="145">
      <c r="A145" t="inlineStr">
        <is>
          <t>CAND1144</t>
        </is>
      </c>
      <c r="B145" t="inlineStr">
        <is>
          <t>LinkedIn</t>
        </is>
      </c>
      <c r="C145" t="inlineStr">
        <is>
          <t>IT</t>
        </is>
      </c>
      <c r="D145" t="inlineStr">
        <is>
          <t>IT Analyst</t>
        </is>
      </c>
      <c r="E145" s="2" t="n">
        <v>45986</v>
      </c>
      <c r="F145" t="inlineStr">
        <is>
          <t>Screened</t>
        </is>
      </c>
      <c r="G145" s="2" t="n">
        <v>45996</v>
      </c>
      <c r="H145" s="2" t="n">
        <v>46002</v>
      </c>
      <c r="I145" s="3" t="n">
        <v>18778</v>
      </c>
      <c r="J145" t="inlineStr">
        <is>
          <t>Rejected</t>
        </is>
      </c>
      <c r="K145">
        <f>H145-G145</f>
        <v/>
      </c>
      <c r="L145" t="n">
        <v/>
      </c>
      <c r="M145" t="n">
        <v>0</v>
      </c>
      <c r="N145" t="n">
        <v>0</v>
      </c>
    </row>
    <row r="146">
      <c r="A146" t="inlineStr">
        <is>
          <t>CAND1145</t>
        </is>
      </c>
      <c r="B146" t="inlineStr">
        <is>
          <t>Job Portal</t>
        </is>
      </c>
      <c r="C146" t="inlineStr">
        <is>
          <t>Finance</t>
        </is>
      </c>
      <c r="D146" t="inlineStr">
        <is>
          <t>Finance Executive</t>
        </is>
      </c>
      <c r="E146" s="2" t="n">
        <v>45686</v>
      </c>
      <c r="F146" t="inlineStr">
        <is>
          <t>Screened</t>
        </is>
      </c>
      <c r="G146" s="2" t="n">
        <v>45695</v>
      </c>
      <c r="H146" s="2" t="n">
        <v>45696</v>
      </c>
      <c r="I146" s="3" t="n">
        <v>21810</v>
      </c>
      <c r="J146" t="inlineStr">
        <is>
          <t>Rejected</t>
        </is>
      </c>
      <c r="K146">
        <f>H146-G146</f>
        <v/>
      </c>
      <c r="L146" t="n">
        <v/>
      </c>
      <c r="M146" t="n">
        <v>0</v>
      </c>
      <c r="N146" t="n">
        <v>0</v>
      </c>
    </row>
    <row r="147">
      <c r="A147" t="inlineStr">
        <is>
          <t>CAND1146</t>
        </is>
      </c>
      <c r="B147" t="inlineStr">
        <is>
          <t>Referral</t>
        </is>
      </c>
      <c r="C147" t="inlineStr">
        <is>
          <t>Operations</t>
        </is>
      </c>
      <c r="D147" t="inlineStr">
        <is>
          <t>Operations Analyst</t>
        </is>
      </c>
      <c r="E147" s="2" t="n">
        <v>45785</v>
      </c>
      <c r="F147" t="inlineStr">
        <is>
          <t>Screened</t>
        </is>
      </c>
      <c r="G147" s="2" t="n">
        <v>45790</v>
      </c>
      <c r="H147" s="2" t="n">
        <v>45794</v>
      </c>
      <c r="I147" s="3" t="n">
        <v>4915</v>
      </c>
      <c r="J147" t="inlineStr">
        <is>
          <t>Rejected</t>
        </is>
      </c>
      <c r="K147">
        <f>H147-G147</f>
        <v/>
      </c>
      <c r="L147" t="n">
        <v/>
      </c>
      <c r="M147" t="n">
        <v>0</v>
      </c>
      <c r="N147" t="n">
        <v>0</v>
      </c>
    </row>
    <row r="148">
      <c r="A148" t="inlineStr">
        <is>
          <t>CAND1147</t>
        </is>
      </c>
      <c r="B148" t="inlineStr">
        <is>
          <t>Campus</t>
        </is>
      </c>
      <c r="C148" t="inlineStr">
        <is>
          <t>HR</t>
        </is>
      </c>
      <c r="D148" t="inlineStr">
        <is>
          <t>HR Analyst</t>
        </is>
      </c>
      <c r="E148" s="2" t="n">
        <v>45965</v>
      </c>
      <c r="F148" t="inlineStr">
        <is>
          <t>Hired</t>
        </is>
      </c>
      <c r="G148" s="2" t="n">
        <v>45976</v>
      </c>
      <c r="H148" s="2" t="n">
        <v>45977</v>
      </c>
      <c r="I148" s="3" t="n">
        <v>32429</v>
      </c>
      <c r="J148" t="inlineStr">
        <is>
          <t>Hired</t>
        </is>
      </c>
      <c r="K148">
        <f>H148-G148</f>
        <v/>
      </c>
      <c r="L148" t="n">
        <v>12</v>
      </c>
      <c r="M148" t="n">
        <v>1</v>
      </c>
      <c r="N148" t="n">
        <v>1</v>
      </c>
    </row>
    <row r="149">
      <c r="A149" t="inlineStr">
        <is>
          <t>CAND1148</t>
        </is>
      </c>
      <c r="B149" t="inlineStr">
        <is>
          <t>Referral</t>
        </is>
      </c>
      <c r="C149" t="inlineStr">
        <is>
          <t>IT</t>
        </is>
      </c>
      <c r="D149" t="inlineStr">
        <is>
          <t>IT Analyst</t>
        </is>
      </c>
      <c r="E149" s="2" t="n">
        <v>45786</v>
      </c>
      <c r="F149" t="inlineStr">
        <is>
          <t>Interviewed</t>
        </is>
      </c>
      <c r="G149" s="2" t="n">
        <v>45797</v>
      </c>
      <c r="H149" s="2" t="n">
        <v>45799</v>
      </c>
      <c r="I149" s="3" t="n">
        <v>7940</v>
      </c>
      <c r="J149" t="inlineStr">
        <is>
          <t>Rejected</t>
        </is>
      </c>
      <c r="K149">
        <f>H149-G149</f>
        <v/>
      </c>
      <c r="L149" t="n">
        <v/>
      </c>
      <c r="M149" t="n">
        <v>0</v>
      </c>
      <c r="N149" t="n">
        <v>0</v>
      </c>
    </row>
    <row r="150">
      <c r="A150" t="inlineStr">
        <is>
          <t>CAND1149</t>
        </is>
      </c>
      <c r="B150" t="inlineStr">
        <is>
          <t>LinkedIn</t>
        </is>
      </c>
      <c r="C150" t="inlineStr">
        <is>
          <t>Sales</t>
        </is>
      </c>
      <c r="D150" t="inlineStr">
        <is>
          <t>Sales Executive</t>
        </is>
      </c>
      <c r="E150" s="2" t="n">
        <v>45713</v>
      </c>
      <c r="F150" t="inlineStr">
        <is>
          <t>Rejected</t>
        </is>
      </c>
      <c r="G150" s="2" t="n">
        <v>45717</v>
      </c>
      <c r="H150" s="2" t="n">
        <v>45721</v>
      </c>
      <c r="I150" s="3" t="n">
        <v>11896</v>
      </c>
      <c r="J150" t="inlineStr">
        <is>
          <t>Rejected</t>
        </is>
      </c>
      <c r="K150">
        <f>H150-G150</f>
        <v/>
      </c>
      <c r="L150" t="n">
        <v/>
      </c>
      <c r="M150" t="n">
        <v>0</v>
      </c>
      <c r="N150" t="n">
        <v>0</v>
      </c>
    </row>
    <row r="151">
      <c r="A151" t="inlineStr">
        <is>
          <t>CAND1150</t>
        </is>
      </c>
      <c r="B151" t="inlineStr">
        <is>
          <t>Campus</t>
        </is>
      </c>
      <c r="C151" t="inlineStr">
        <is>
          <t>Sales</t>
        </is>
      </c>
      <c r="D151" t="inlineStr">
        <is>
          <t>Sales Executive</t>
        </is>
      </c>
      <c r="E151" s="2" t="n">
        <v>46017</v>
      </c>
      <c r="F151" t="inlineStr">
        <is>
          <t>Screened</t>
        </is>
      </c>
      <c r="G151" s="2" t="n">
        <v>46023</v>
      </c>
      <c r="H151" s="2" t="n">
        <v>46026</v>
      </c>
      <c r="I151" s="3" t="n">
        <v>8055</v>
      </c>
      <c r="J151" t="inlineStr">
        <is>
          <t>Rejected</t>
        </is>
      </c>
      <c r="K151">
        <f>H151-G151</f>
        <v/>
      </c>
      <c r="L151" t="n">
        <v/>
      </c>
      <c r="M151" t="n">
        <v>0</v>
      </c>
      <c r="N151" t="n">
        <v>0</v>
      </c>
    </row>
    <row r="152">
      <c r="A152" t="inlineStr">
        <is>
          <t>CAND1151</t>
        </is>
      </c>
      <c r="B152" t="inlineStr">
        <is>
          <t>LinkedIn</t>
        </is>
      </c>
      <c r="C152" t="inlineStr">
        <is>
          <t>Finance</t>
        </is>
      </c>
      <c r="D152" t="inlineStr">
        <is>
          <t>Finance Manager</t>
        </is>
      </c>
      <c r="E152" s="2" t="n">
        <v>45942</v>
      </c>
      <c r="F152" t="inlineStr">
        <is>
          <t>Rejected</t>
        </is>
      </c>
      <c r="G152" s="2" t="n">
        <v>45944</v>
      </c>
      <c r="H152" s="2" t="n">
        <v>45949</v>
      </c>
      <c r="I152" s="3" t="n">
        <v>11017</v>
      </c>
      <c r="J152" t="inlineStr">
        <is>
          <t>Rejected</t>
        </is>
      </c>
      <c r="K152">
        <f>H152-G152</f>
        <v/>
      </c>
      <c r="L152" t="n">
        <v/>
      </c>
      <c r="M152" t="n">
        <v>0</v>
      </c>
      <c r="N152" t="n">
        <v>0</v>
      </c>
    </row>
    <row r="153">
      <c r="A153" t="inlineStr">
        <is>
          <t>CAND1152</t>
        </is>
      </c>
      <c r="B153" t="inlineStr">
        <is>
          <t>LinkedIn</t>
        </is>
      </c>
      <c r="C153" t="inlineStr">
        <is>
          <t>HR</t>
        </is>
      </c>
      <c r="D153" t="inlineStr">
        <is>
          <t>HR Manager</t>
        </is>
      </c>
      <c r="E153" s="2" t="n">
        <v>45952</v>
      </c>
      <c r="F153" t="inlineStr">
        <is>
          <t>Rejected</t>
        </is>
      </c>
      <c r="G153" s="2" t="n">
        <v>45955</v>
      </c>
      <c r="H153" s="2" t="n">
        <v>45958</v>
      </c>
      <c r="I153" s="3" t="n">
        <v>18593</v>
      </c>
      <c r="J153" t="inlineStr">
        <is>
          <t>Rejected</t>
        </is>
      </c>
      <c r="K153">
        <f>H153-G153</f>
        <v/>
      </c>
      <c r="L153" t="n">
        <v/>
      </c>
      <c r="M153" t="n">
        <v>0</v>
      </c>
      <c r="N153" t="n">
        <v>0</v>
      </c>
    </row>
    <row r="154">
      <c r="A154" t="inlineStr">
        <is>
          <t>CAND1153</t>
        </is>
      </c>
      <c r="B154" t="inlineStr">
        <is>
          <t>LinkedIn</t>
        </is>
      </c>
      <c r="C154" t="inlineStr">
        <is>
          <t>Finance</t>
        </is>
      </c>
      <c r="D154" t="inlineStr">
        <is>
          <t>Finance Manager</t>
        </is>
      </c>
      <c r="E154" s="2" t="n">
        <v>45911</v>
      </c>
      <c r="F154" t="inlineStr">
        <is>
          <t>Screened</t>
        </is>
      </c>
      <c r="G154" s="2" t="n">
        <v>45917</v>
      </c>
      <c r="H154" s="2" t="n">
        <v>45918</v>
      </c>
      <c r="I154" s="3" t="n">
        <v>20482</v>
      </c>
      <c r="J154" t="inlineStr">
        <is>
          <t>Rejected</t>
        </is>
      </c>
      <c r="K154">
        <f>H154-G154</f>
        <v/>
      </c>
      <c r="L154" t="n">
        <v/>
      </c>
      <c r="M154" t="n">
        <v>0</v>
      </c>
      <c r="N154" t="n">
        <v>0</v>
      </c>
    </row>
    <row r="155">
      <c r="A155" t="inlineStr">
        <is>
          <t>CAND1154</t>
        </is>
      </c>
      <c r="B155" t="inlineStr">
        <is>
          <t>Job Portal</t>
        </is>
      </c>
      <c r="C155" t="inlineStr">
        <is>
          <t>Marketing</t>
        </is>
      </c>
      <c r="D155" t="inlineStr">
        <is>
          <t>Marketing Analyst</t>
        </is>
      </c>
      <c r="E155" s="2" t="n">
        <v>45856</v>
      </c>
      <c r="F155" t="inlineStr">
        <is>
          <t>Interviewed</t>
        </is>
      </c>
      <c r="G155" s="2" t="n">
        <v>45865</v>
      </c>
      <c r="H155" s="2" t="n">
        <v>45867</v>
      </c>
      <c r="I155" s="3" t="n">
        <v>16500</v>
      </c>
      <c r="J155" t="inlineStr">
        <is>
          <t>Rejected</t>
        </is>
      </c>
      <c r="K155">
        <f>H155-G155</f>
        <v/>
      </c>
      <c r="L155" t="n">
        <v/>
      </c>
      <c r="M155" t="n">
        <v>0</v>
      </c>
      <c r="N155" t="n">
        <v>0</v>
      </c>
    </row>
    <row r="156">
      <c r="A156" t="inlineStr">
        <is>
          <t>CAND1155</t>
        </is>
      </c>
      <c r="B156" t="inlineStr">
        <is>
          <t>Referral</t>
        </is>
      </c>
      <c r="C156" t="inlineStr">
        <is>
          <t>Operations</t>
        </is>
      </c>
      <c r="D156" t="inlineStr">
        <is>
          <t>Operations Analyst</t>
        </is>
      </c>
      <c r="E156" s="2" t="n">
        <v>45695</v>
      </c>
      <c r="F156" t="inlineStr">
        <is>
          <t>Offered</t>
        </is>
      </c>
      <c r="G156" s="2" t="n">
        <v>45702</v>
      </c>
      <c r="H156" s="2" t="n">
        <v>45707</v>
      </c>
      <c r="I156" s="3" t="n">
        <v>21114</v>
      </c>
      <c r="J156" t="inlineStr">
        <is>
          <t>Rejected</t>
        </is>
      </c>
      <c r="K156">
        <f>H156-G156</f>
        <v/>
      </c>
      <c r="L156" t="n">
        <v/>
      </c>
      <c r="M156" t="n">
        <v>0</v>
      </c>
      <c r="N156" t="n">
        <v>1</v>
      </c>
    </row>
    <row r="157">
      <c r="A157" t="inlineStr">
        <is>
          <t>CAND1156</t>
        </is>
      </c>
      <c r="B157" t="inlineStr">
        <is>
          <t>Job Portal</t>
        </is>
      </c>
      <c r="C157" t="inlineStr">
        <is>
          <t>Sales</t>
        </is>
      </c>
      <c r="D157" t="inlineStr">
        <is>
          <t>Sales Executive</t>
        </is>
      </c>
      <c r="E157" s="2" t="n">
        <v>45724</v>
      </c>
      <c r="F157" t="inlineStr">
        <is>
          <t>Interviewed</t>
        </is>
      </c>
      <c r="G157" s="2" t="n">
        <v>45735</v>
      </c>
      <c r="H157" s="2" t="n">
        <v>45740</v>
      </c>
      <c r="I157" s="3" t="n">
        <v>7860</v>
      </c>
      <c r="J157" t="inlineStr">
        <is>
          <t>Rejected</t>
        </is>
      </c>
      <c r="K157">
        <f>H157-G157</f>
        <v/>
      </c>
      <c r="L157" t="n">
        <v/>
      </c>
      <c r="M157" t="n">
        <v>0</v>
      </c>
      <c r="N157" t="n">
        <v>0</v>
      </c>
    </row>
    <row r="158">
      <c r="A158" t="inlineStr">
        <is>
          <t>CAND1157</t>
        </is>
      </c>
      <c r="B158" t="inlineStr">
        <is>
          <t>Referral</t>
        </is>
      </c>
      <c r="C158" t="inlineStr">
        <is>
          <t>Finance</t>
        </is>
      </c>
      <c r="D158" t="inlineStr">
        <is>
          <t>Finance Manager</t>
        </is>
      </c>
      <c r="E158" s="2" t="n">
        <v>45940</v>
      </c>
      <c r="F158" t="inlineStr">
        <is>
          <t>Interviewed</t>
        </is>
      </c>
      <c r="G158" s="2" t="n">
        <v>45942</v>
      </c>
      <c r="H158" s="2" t="n">
        <v>45948</v>
      </c>
      <c r="I158" s="3" t="n">
        <v>15732</v>
      </c>
      <c r="J158" t="inlineStr">
        <is>
          <t>Rejected</t>
        </is>
      </c>
      <c r="K158">
        <f>H158-G158</f>
        <v/>
      </c>
      <c r="L158" t="n">
        <v/>
      </c>
      <c r="M158" t="n">
        <v>0</v>
      </c>
      <c r="N158" t="n">
        <v>0</v>
      </c>
    </row>
    <row r="159">
      <c r="A159" t="inlineStr">
        <is>
          <t>CAND1158</t>
        </is>
      </c>
      <c r="B159" t="inlineStr">
        <is>
          <t>Referral</t>
        </is>
      </c>
      <c r="C159" t="inlineStr">
        <is>
          <t>Finance</t>
        </is>
      </c>
      <c r="D159" t="inlineStr">
        <is>
          <t>Finance Manager</t>
        </is>
      </c>
      <c r="E159" s="2" t="n">
        <v>45886</v>
      </c>
      <c r="F159" t="inlineStr">
        <is>
          <t>Rejected</t>
        </is>
      </c>
      <c r="G159" s="2" t="n">
        <v>45891</v>
      </c>
      <c r="H159" s="2" t="n">
        <v>45896</v>
      </c>
      <c r="I159" s="3" t="n">
        <v>20064</v>
      </c>
      <c r="J159" t="inlineStr">
        <is>
          <t>Rejected</t>
        </is>
      </c>
      <c r="K159">
        <f>H159-G159</f>
        <v/>
      </c>
      <c r="L159" t="n">
        <v/>
      </c>
      <c r="M159" t="n">
        <v>0</v>
      </c>
      <c r="N159" t="n">
        <v>0</v>
      </c>
    </row>
    <row r="160">
      <c r="A160" t="inlineStr">
        <is>
          <t>CAND1159</t>
        </is>
      </c>
      <c r="B160" t="inlineStr">
        <is>
          <t>Job Portal</t>
        </is>
      </c>
      <c r="C160" t="inlineStr">
        <is>
          <t>Operations</t>
        </is>
      </c>
      <c r="D160" t="inlineStr">
        <is>
          <t>Operations Manager</t>
        </is>
      </c>
      <c r="E160" s="2" t="n">
        <v>45877</v>
      </c>
      <c r="F160" t="inlineStr">
        <is>
          <t>Hired</t>
        </is>
      </c>
      <c r="G160" s="2" t="n">
        <v>45888</v>
      </c>
      <c r="H160" s="2" t="n">
        <v>45895</v>
      </c>
      <c r="I160" s="3" t="n">
        <v>40631</v>
      </c>
      <c r="J160" t="inlineStr">
        <is>
          <t>Hired</t>
        </is>
      </c>
      <c r="K160">
        <f>H160-G160</f>
        <v/>
      </c>
      <c r="L160" t="n">
        <v>18</v>
      </c>
      <c r="M160" t="n">
        <v>1</v>
      </c>
      <c r="N160" t="n">
        <v>1</v>
      </c>
    </row>
    <row r="161">
      <c r="A161" t="inlineStr">
        <is>
          <t>CAND1160</t>
        </is>
      </c>
      <c r="B161" t="inlineStr">
        <is>
          <t>Referral</t>
        </is>
      </c>
      <c r="C161" t="inlineStr">
        <is>
          <t>Marketing</t>
        </is>
      </c>
      <c r="D161" t="inlineStr">
        <is>
          <t>Marketing Executive</t>
        </is>
      </c>
      <c r="E161" s="2" t="n">
        <v>45901</v>
      </c>
      <c r="F161" t="inlineStr">
        <is>
          <t>Hired</t>
        </is>
      </c>
      <c r="G161" s="2" t="n">
        <v>45912</v>
      </c>
      <c r="H161" s="2" t="n">
        <v>45918</v>
      </c>
      <c r="I161" s="3" t="n">
        <v>33271</v>
      </c>
      <c r="J161" t="inlineStr">
        <is>
          <t>Hired</t>
        </is>
      </c>
      <c r="K161">
        <f>H161-G161</f>
        <v/>
      </c>
      <c r="L161" t="n">
        <v>17</v>
      </c>
      <c r="M161" t="n">
        <v>1</v>
      </c>
      <c r="N161" t="n">
        <v>1</v>
      </c>
    </row>
    <row r="162">
      <c r="A162" t="inlineStr">
        <is>
          <t>CAND1161</t>
        </is>
      </c>
      <c r="B162" t="inlineStr">
        <is>
          <t>Referral</t>
        </is>
      </c>
      <c r="C162" t="inlineStr">
        <is>
          <t>Sales</t>
        </is>
      </c>
      <c r="D162" t="inlineStr">
        <is>
          <t>Sales Executive</t>
        </is>
      </c>
      <c r="E162" s="2" t="n">
        <v>45703</v>
      </c>
      <c r="F162" t="inlineStr">
        <is>
          <t>Rejected</t>
        </is>
      </c>
      <c r="G162" s="2" t="n">
        <v>45714</v>
      </c>
      <c r="H162" s="2" t="n">
        <v>45715</v>
      </c>
      <c r="I162" s="3" t="n">
        <v>10075</v>
      </c>
      <c r="J162" t="inlineStr">
        <is>
          <t>Rejected</t>
        </is>
      </c>
      <c r="K162">
        <f>H162-G162</f>
        <v/>
      </c>
      <c r="L162" t="n">
        <v/>
      </c>
      <c r="M162" t="n">
        <v>0</v>
      </c>
      <c r="N162" t="n">
        <v>0</v>
      </c>
    </row>
    <row r="163">
      <c r="A163" t="inlineStr">
        <is>
          <t>CAND1162</t>
        </is>
      </c>
      <c r="B163" t="inlineStr">
        <is>
          <t>Job Portal</t>
        </is>
      </c>
      <c r="C163" t="inlineStr">
        <is>
          <t>Sales</t>
        </is>
      </c>
      <c r="D163" t="inlineStr">
        <is>
          <t>Sales Executive</t>
        </is>
      </c>
      <c r="E163" s="2" t="n">
        <v>45741</v>
      </c>
      <c r="F163" t="inlineStr">
        <is>
          <t>Screened</t>
        </is>
      </c>
      <c r="G163" s="2" t="n">
        <v>45751</v>
      </c>
      <c r="H163" s="2" t="n">
        <v>45755</v>
      </c>
      <c r="I163" s="3" t="n">
        <v>10127</v>
      </c>
      <c r="J163" t="inlineStr">
        <is>
          <t>Rejected</t>
        </is>
      </c>
      <c r="K163">
        <f>H163-G163</f>
        <v/>
      </c>
      <c r="L163" t="n">
        <v/>
      </c>
      <c r="M163" t="n">
        <v>0</v>
      </c>
      <c r="N163" t="n">
        <v>0</v>
      </c>
    </row>
    <row r="164">
      <c r="A164" t="inlineStr">
        <is>
          <t>CAND1163</t>
        </is>
      </c>
      <c r="B164" t="inlineStr">
        <is>
          <t>LinkedIn</t>
        </is>
      </c>
      <c r="C164" t="inlineStr">
        <is>
          <t>Operations</t>
        </is>
      </c>
      <c r="D164" t="inlineStr">
        <is>
          <t>Operations Manager</t>
        </is>
      </c>
      <c r="E164" s="2" t="n">
        <v>45878</v>
      </c>
      <c r="F164" t="inlineStr">
        <is>
          <t>Interviewed</t>
        </is>
      </c>
      <c r="G164" s="2" t="n">
        <v>45887</v>
      </c>
      <c r="H164" s="2" t="n">
        <v>45891</v>
      </c>
      <c r="I164" s="3" t="n">
        <v>4588</v>
      </c>
      <c r="J164" t="inlineStr">
        <is>
          <t>Rejected</t>
        </is>
      </c>
      <c r="K164">
        <f>H164-G164</f>
        <v/>
      </c>
      <c r="L164" t="n">
        <v/>
      </c>
      <c r="M164" t="n">
        <v>0</v>
      </c>
      <c r="N164" t="n">
        <v>0</v>
      </c>
    </row>
    <row r="165">
      <c r="A165" t="inlineStr">
        <is>
          <t>CAND1164</t>
        </is>
      </c>
      <c r="B165" t="inlineStr">
        <is>
          <t>Referral</t>
        </is>
      </c>
      <c r="C165" t="inlineStr">
        <is>
          <t>HR</t>
        </is>
      </c>
      <c r="D165" t="inlineStr">
        <is>
          <t>HR Executive</t>
        </is>
      </c>
      <c r="E165" s="2" t="n">
        <v>45676</v>
      </c>
      <c r="F165" t="inlineStr">
        <is>
          <t>Screened</t>
        </is>
      </c>
      <c r="G165" s="2" t="n">
        <v>45683</v>
      </c>
      <c r="H165" s="2" t="n">
        <v>45690</v>
      </c>
      <c r="I165" s="3" t="n">
        <v>9059</v>
      </c>
      <c r="J165" t="inlineStr">
        <is>
          <t>Rejected</t>
        </is>
      </c>
      <c r="K165">
        <f>H165-G165</f>
        <v/>
      </c>
      <c r="L165" t="n">
        <v/>
      </c>
      <c r="M165" t="n">
        <v>0</v>
      </c>
      <c r="N165" t="n">
        <v>0</v>
      </c>
    </row>
    <row r="166">
      <c r="A166" t="inlineStr">
        <is>
          <t>CAND1165</t>
        </is>
      </c>
      <c r="B166" t="inlineStr">
        <is>
          <t>Referral</t>
        </is>
      </c>
      <c r="C166" t="inlineStr">
        <is>
          <t>Marketing</t>
        </is>
      </c>
      <c r="D166" t="inlineStr">
        <is>
          <t>Marketing Manager</t>
        </is>
      </c>
      <c r="E166" s="2" t="n">
        <v>45962</v>
      </c>
      <c r="F166" t="inlineStr">
        <is>
          <t>Rejected</t>
        </is>
      </c>
      <c r="G166" s="2" t="n">
        <v>45968</v>
      </c>
      <c r="H166" s="2" t="n">
        <v>45971</v>
      </c>
      <c r="I166" s="3" t="n">
        <v>6771</v>
      </c>
      <c r="J166" t="inlineStr">
        <is>
          <t>Rejected</t>
        </is>
      </c>
      <c r="K166">
        <f>H166-G166</f>
        <v/>
      </c>
      <c r="L166" t="n">
        <v/>
      </c>
      <c r="M166" t="n">
        <v>0</v>
      </c>
      <c r="N166" t="n">
        <v>0</v>
      </c>
    </row>
    <row r="167">
      <c r="A167" t="inlineStr">
        <is>
          <t>CAND1166</t>
        </is>
      </c>
      <c r="B167" t="inlineStr">
        <is>
          <t>LinkedIn</t>
        </is>
      </c>
      <c r="C167" t="inlineStr">
        <is>
          <t>HR</t>
        </is>
      </c>
      <c r="D167" t="inlineStr">
        <is>
          <t>HR Manager</t>
        </is>
      </c>
      <c r="E167" s="2" t="n">
        <v>45796</v>
      </c>
      <c r="F167" t="inlineStr">
        <is>
          <t>Rejected</t>
        </is>
      </c>
      <c r="G167" s="2" t="n">
        <v>45799</v>
      </c>
      <c r="H167" s="2" t="n">
        <v>45800</v>
      </c>
      <c r="I167" s="3" t="n">
        <v>6710</v>
      </c>
      <c r="J167" t="inlineStr">
        <is>
          <t>Rejected</t>
        </is>
      </c>
      <c r="K167">
        <f>H167-G167</f>
        <v/>
      </c>
      <c r="L167" t="n">
        <v/>
      </c>
      <c r="M167" t="n">
        <v>0</v>
      </c>
      <c r="N167" t="n">
        <v>0</v>
      </c>
    </row>
    <row r="168">
      <c r="A168" t="inlineStr">
        <is>
          <t>CAND1167</t>
        </is>
      </c>
      <c r="B168" t="inlineStr">
        <is>
          <t>Job Portal</t>
        </is>
      </c>
      <c r="C168" t="inlineStr">
        <is>
          <t>Marketing</t>
        </is>
      </c>
      <c r="D168" t="inlineStr">
        <is>
          <t>Marketing Analyst</t>
        </is>
      </c>
      <c r="E168" s="2" t="n">
        <v>45865</v>
      </c>
      <c r="F168" t="inlineStr">
        <is>
          <t>Hired</t>
        </is>
      </c>
      <c r="G168" s="2" t="n">
        <v>45871</v>
      </c>
      <c r="H168" s="2" t="n">
        <v>45874</v>
      </c>
      <c r="I168" s="3" t="n">
        <v>37804</v>
      </c>
      <c r="J168" t="inlineStr">
        <is>
          <t>Hired</t>
        </is>
      </c>
      <c r="K168">
        <f>H168-G168</f>
        <v/>
      </c>
      <c r="L168" t="n">
        <v>9</v>
      </c>
      <c r="M168" t="n">
        <v>1</v>
      </c>
      <c r="N168" t="n">
        <v>1</v>
      </c>
    </row>
    <row r="169">
      <c r="A169" t="inlineStr">
        <is>
          <t>CAND1168</t>
        </is>
      </c>
      <c r="B169" t="inlineStr">
        <is>
          <t>Referral</t>
        </is>
      </c>
      <c r="C169" t="inlineStr">
        <is>
          <t>IT</t>
        </is>
      </c>
      <c r="D169" t="inlineStr">
        <is>
          <t>IT Executive</t>
        </is>
      </c>
      <c r="E169" s="2" t="n">
        <v>45658</v>
      </c>
      <c r="F169" t="inlineStr">
        <is>
          <t>Hired</t>
        </is>
      </c>
      <c r="G169" s="2" t="n">
        <v>45668</v>
      </c>
      <c r="H169" s="2" t="n">
        <v>45674</v>
      </c>
      <c r="I169" s="3" t="n">
        <v>22102</v>
      </c>
      <c r="J169" t="inlineStr">
        <is>
          <t>Hired</t>
        </is>
      </c>
      <c r="K169">
        <f>H169-G169</f>
        <v/>
      </c>
      <c r="L169" t="n">
        <v>16</v>
      </c>
      <c r="M169" t="n">
        <v>1</v>
      </c>
      <c r="N169" t="n">
        <v>1</v>
      </c>
    </row>
    <row r="170">
      <c r="A170" t="inlineStr">
        <is>
          <t>CAND1169</t>
        </is>
      </c>
      <c r="B170" t="inlineStr">
        <is>
          <t>LinkedIn</t>
        </is>
      </c>
      <c r="C170" t="inlineStr">
        <is>
          <t>Marketing</t>
        </is>
      </c>
      <c r="D170" t="inlineStr">
        <is>
          <t>Marketing Executive</t>
        </is>
      </c>
      <c r="E170" s="2" t="n">
        <v>45993</v>
      </c>
      <c r="F170" t="inlineStr">
        <is>
          <t>Rejected</t>
        </is>
      </c>
      <c r="G170" s="2" t="n">
        <v>45995</v>
      </c>
      <c r="H170" s="2" t="n">
        <v>45997</v>
      </c>
      <c r="I170" s="3" t="n">
        <v>12507</v>
      </c>
      <c r="J170" t="inlineStr">
        <is>
          <t>Rejected</t>
        </is>
      </c>
      <c r="K170">
        <f>H170-G170</f>
        <v/>
      </c>
      <c r="L170" t="n">
        <v/>
      </c>
      <c r="M170" t="n">
        <v>0</v>
      </c>
      <c r="N170" t="n">
        <v>0</v>
      </c>
    </row>
    <row r="171">
      <c r="A171" t="inlineStr">
        <is>
          <t>CAND1170</t>
        </is>
      </c>
      <c r="B171" t="inlineStr">
        <is>
          <t>Job Portal</t>
        </is>
      </c>
      <c r="C171" t="inlineStr">
        <is>
          <t>Operations</t>
        </is>
      </c>
      <c r="D171" t="inlineStr">
        <is>
          <t>Operations Analyst</t>
        </is>
      </c>
      <c r="E171" s="2" t="n">
        <v>45803</v>
      </c>
      <c r="F171" t="inlineStr">
        <is>
          <t>Rejected</t>
        </is>
      </c>
      <c r="G171" s="2" t="n">
        <v>45814</v>
      </c>
      <c r="H171" s="2" t="n">
        <v>45817</v>
      </c>
      <c r="I171" s="3" t="n">
        <v>15181</v>
      </c>
      <c r="J171" t="inlineStr">
        <is>
          <t>Rejected</t>
        </is>
      </c>
      <c r="K171">
        <f>H171-G171</f>
        <v/>
      </c>
      <c r="L171" t="n">
        <v/>
      </c>
      <c r="M171" t="n">
        <v>0</v>
      </c>
      <c r="N171" t="n">
        <v>0</v>
      </c>
    </row>
    <row r="172">
      <c r="A172" t="inlineStr">
        <is>
          <t>CAND1171</t>
        </is>
      </c>
      <c r="B172" t="inlineStr">
        <is>
          <t>LinkedIn</t>
        </is>
      </c>
      <c r="C172" t="inlineStr">
        <is>
          <t>Sales</t>
        </is>
      </c>
      <c r="D172" t="inlineStr">
        <is>
          <t>Sales Manager</t>
        </is>
      </c>
      <c r="E172" s="2" t="n">
        <v>45976</v>
      </c>
      <c r="F172" t="inlineStr">
        <is>
          <t>Rejected</t>
        </is>
      </c>
      <c r="G172" s="2" t="n">
        <v>45980</v>
      </c>
      <c r="H172" s="2" t="n">
        <v>45987</v>
      </c>
      <c r="I172" s="3" t="n">
        <v>4074</v>
      </c>
      <c r="J172" t="inlineStr">
        <is>
          <t>Rejected</t>
        </is>
      </c>
      <c r="K172">
        <f>H172-G172</f>
        <v/>
      </c>
      <c r="L172" t="n">
        <v/>
      </c>
      <c r="M172" t="n">
        <v>0</v>
      </c>
      <c r="N172" t="n">
        <v>0</v>
      </c>
    </row>
    <row r="173">
      <c r="A173" t="inlineStr">
        <is>
          <t>CAND1172</t>
        </is>
      </c>
      <c r="B173" t="inlineStr">
        <is>
          <t>Campus</t>
        </is>
      </c>
      <c r="C173" t="inlineStr">
        <is>
          <t>HR</t>
        </is>
      </c>
      <c r="D173" t="inlineStr">
        <is>
          <t>HR Executive</t>
        </is>
      </c>
      <c r="E173" s="2" t="n">
        <v>45669</v>
      </c>
      <c r="F173" t="inlineStr">
        <is>
          <t>Screened</t>
        </is>
      </c>
      <c r="G173" s="2" t="n">
        <v>45676</v>
      </c>
      <c r="H173" s="2" t="n">
        <v>45679</v>
      </c>
      <c r="I173" s="3" t="n">
        <v>6823</v>
      </c>
      <c r="J173" t="inlineStr">
        <is>
          <t>Rejected</t>
        </is>
      </c>
      <c r="K173">
        <f>H173-G173</f>
        <v/>
      </c>
      <c r="L173" t="n">
        <v/>
      </c>
      <c r="M173" t="n">
        <v>0</v>
      </c>
      <c r="N173" t="n">
        <v>0</v>
      </c>
    </row>
    <row r="174">
      <c r="A174" t="inlineStr">
        <is>
          <t>CAND1173</t>
        </is>
      </c>
      <c r="B174" t="inlineStr">
        <is>
          <t>Job Portal</t>
        </is>
      </c>
      <c r="C174" t="inlineStr">
        <is>
          <t>IT</t>
        </is>
      </c>
      <c r="D174" t="inlineStr">
        <is>
          <t>IT Analyst</t>
        </is>
      </c>
      <c r="E174" s="2" t="n">
        <v>45848</v>
      </c>
      <c r="F174" t="inlineStr">
        <is>
          <t>Offered</t>
        </is>
      </c>
      <c r="G174" s="2" t="n">
        <v>45852</v>
      </c>
      <c r="H174" s="2" t="n">
        <v>45856</v>
      </c>
      <c r="I174" s="3" t="n">
        <v>6819</v>
      </c>
      <c r="J174" t="inlineStr">
        <is>
          <t>Rejected</t>
        </is>
      </c>
      <c r="K174">
        <f>H174-G174</f>
        <v/>
      </c>
      <c r="L174" t="n">
        <v/>
      </c>
      <c r="M174" t="n">
        <v>0</v>
      </c>
      <c r="N174" t="n">
        <v>1</v>
      </c>
    </row>
    <row r="175">
      <c r="A175" t="inlineStr">
        <is>
          <t>CAND1174</t>
        </is>
      </c>
      <c r="B175" t="inlineStr">
        <is>
          <t>LinkedIn</t>
        </is>
      </c>
      <c r="C175" t="inlineStr">
        <is>
          <t>IT</t>
        </is>
      </c>
      <c r="D175" t="inlineStr">
        <is>
          <t>IT Manager</t>
        </is>
      </c>
      <c r="E175" s="2" t="n">
        <v>45872</v>
      </c>
      <c r="F175" t="inlineStr">
        <is>
          <t>Hired</t>
        </is>
      </c>
      <c r="G175" s="2" t="n">
        <v>45877</v>
      </c>
      <c r="H175" s="2" t="n">
        <v>45882</v>
      </c>
      <c r="I175" s="3" t="n">
        <v>21523</v>
      </c>
      <c r="J175" t="inlineStr">
        <is>
          <t>Hired</t>
        </is>
      </c>
      <c r="K175">
        <f>H175-G175</f>
        <v/>
      </c>
      <c r="L175" t="n">
        <v>10</v>
      </c>
      <c r="M175" t="n">
        <v>1</v>
      </c>
      <c r="N175" t="n">
        <v>1</v>
      </c>
    </row>
    <row r="176">
      <c r="A176" t="inlineStr">
        <is>
          <t>CAND1175</t>
        </is>
      </c>
      <c r="B176" t="inlineStr">
        <is>
          <t>Job Portal</t>
        </is>
      </c>
      <c r="C176" t="inlineStr">
        <is>
          <t>Finance</t>
        </is>
      </c>
      <c r="D176" t="inlineStr">
        <is>
          <t>Finance Manager</t>
        </is>
      </c>
      <c r="E176" s="2" t="n">
        <v>45824</v>
      </c>
      <c r="F176" t="inlineStr">
        <is>
          <t>Screened</t>
        </is>
      </c>
      <c r="G176" s="2" t="n">
        <v>45835</v>
      </c>
      <c r="H176" s="2" t="n">
        <v>45837</v>
      </c>
      <c r="I176" s="3" t="n">
        <v>23772</v>
      </c>
      <c r="J176" t="inlineStr">
        <is>
          <t>Rejected</t>
        </is>
      </c>
      <c r="K176">
        <f>H176-G176</f>
        <v/>
      </c>
      <c r="L176" t="n">
        <v/>
      </c>
      <c r="M176" t="n">
        <v>0</v>
      </c>
      <c r="N176" t="n">
        <v>0</v>
      </c>
    </row>
    <row r="177">
      <c r="A177" t="inlineStr">
        <is>
          <t>CAND1176</t>
        </is>
      </c>
      <c r="B177" t="inlineStr">
        <is>
          <t>Campus</t>
        </is>
      </c>
      <c r="C177" t="inlineStr">
        <is>
          <t>Operations</t>
        </is>
      </c>
      <c r="D177" t="inlineStr">
        <is>
          <t>Operations Manager</t>
        </is>
      </c>
      <c r="E177" s="2" t="n">
        <v>45699</v>
      </c>
      <c r="F177" t="inlineStr">
        <is>
          <t>Interviewed</t>
        </is>
      </c>
      <c r="G177" s="2" t="n">
        <v>45703</v>
      </c>
      <c r="H177" s="2" t="n">
        <v>45704</v>
      </c>
      <c r="I177" s="3" t="n">
        <v>5760</v>
      </c>
      <c r="J177" t="inlineStr">
        <is>
          <t>Rejected</t>
        </is>
      </c>
      <c r="K177">
        <f>H177-G177</f>
        <v/>
      </c>
      <c r="L177" t="n">
        <v/>
      </c>
      <c r="M177" t="n">
        <v>0</v>
      </c>
      <c r="N177" t="n">
        <v>0</v>
      </c>
    </row>
    <row r="178">
      <c r="A178" t="inlineStr">
        <is>
          <t>CAND1177</t>
        </is>
      </c>
      <c r="B178" t="inlineStr">
        <is>
          <t>Referral</t>
        </is>
      </c>
      <c r="C178" t="inlineStr">
        <is>
          <t>Marketing</t>
        </is>
      </c>
      <c r="D178" t="inlineStr">
        <is>
          <t>Marketing Analyst</t>
        </is>
      </c>
      <c r="E178" s="2" t="n">
        <v>45989</v>
      </c>
      <c r="F178" t="inlineStr">
        <is>
          <t>Screened</t>
        </is>
      </c>
      <c r="G178" s="2" t="n">
        <v>45995</v>
      </c>
      <c r="H178" s="2" t="n">
        <v>45999</v>
      </c>
      <c r="I178" s="3" t="n">
        <v>5811</v>
      </c>
      <c r="J178" t="inlineStr">
        <is>
          <t>Rejected</t>
        </is>
      </c>
      <c r="K178">
        <f>H178-G178</f>
        <v/>
      </c>
      <c r="L178" t="n">
        <v/>
      </c>
      <c r="M178" t="n">
        <v>0</v>
      </c>
      <c r="N178" t="n">
        <v>0</v>
      </c>
    </row>
    <row r="179">
      <c r="A179" t="inlineStr">
        <is>
          <t>CAND1178</t>
        </is>
      </c>
      <c r="B179" t="inlineStr">
        <is>
          <t>Job Portal</t>
        </is>
      </c>
      <c r="C179" t="inlineStr">
        <is>
          <t>Marketing</t>
        </is>
      </c>
      <c r="D179" t="inlineStr">
        <is>
          <t>Marketing Manager</t>
        </is>
      </c>
      <c r="E179" s="2" t="n">
        <v>45720</v>
      </c>
      <c r="F179" t="inlineStr">
        <is>
          <t>Interviewed</t>
        </is>
      </c>
      <c r="G179" s="2" t="n">
        <v>45729</v>
      </c>
      <c r="H179" s="2" t="n">
        <v>45732</v>
      </c>
      <c r="I179" s="3" t="n">
        <v>24620</v>
      </c>
      <c r="J179" t="inlineStr">
        <is>
          <t>Rejected</t>
        </is>
      </c>
      <c r="K179">
        <f>H179-G179</f>
        <v/>
      </c>
      <c r="L179" t="n">
        <v/>
      </c>
      <c r="M179" t="n">
        <v>0</v>
      </c>
      <c r="N179" t="n">
        <v>0</v>
      </c>
    </row>
    <row r="180">
      <c r="A180" t="inlineStr">
        <is>
          <t>CAND1179</t>
        </is>
      </c>
      <c r="B180" t="inlineStr">
        <is>
          <t>Campus</t>
        </is>
      </c>
      <c r="C180" t="inlineStr">
        <is>
          <t>Marketing</t>
        </is>
      </c>
      <c r="D180" t="inlineStr">
        <is>
          <t>Marketing Analyst</t>
        </is>
      </c>
      <c r="E180" s="2" t="n">
        <v>45710</v>
      </c>
      <c r="F180" t="inlineStr">
        <is>
          <t>Rejected</t>
        </is>
      </c>
      <c r="G180" s="2" t="n">
        <v>45719</v>
      </c>
      <c r="H180" s="2" t="n">
        <v>45720</v>
      </c>
      <c r="I180" s="3" t="n">
        <v>11098</v>
      </c>
      <c r="J180" t="inlineStr">
        <is>
          <t>Rejected</t>
        </is>
      </c>
      <c r="K180">
        <f>H180-G180</f>
        <v/>
      </c>
      <c r="L180" t="n">
        <v/>
      </c>
      <c r="M180" t="n">
        <v>0</v>
      </c>
      <c r="N180" t="n">
        <v>0</v>
      </c>
    </row>
    <row r="181">
      <c r="A181" t="inlineStr">
        <is>
          <t>CAND1180</t>
        </is>
      </c>
      <c r="B181" t="inlineStr">
        <is>
          <t>Job Portal</t>
        </is>
      </c>
      <c r="C181" t="inlineStr">
        <is>
          <t>Operations</t>
        </is>
      </c>
      <c r="D181" t="inlineStr">
        <is>
          <t>Operations Analyst</t>
        </is>
      </c>
      <c r="E181" s="2" t="n">
        <v>45909</v>
      </c>
      <c r="F181" t="inlineStr">
        <is>
          <t>Rejected</t>
        </is>
      </c>
      <c r="G181" s="2" t="n">
        <v>45920</v>
      </c>
      <c r="H181" s="2" t="n">
        <v>45925</v>
      </c>
      <c r="I181" s="3" t="n">
        <v>4630</v>
      </c>
      <c r="J181" t="inlineStr">
        <is>
          <t>Rejected</t>
        </is>
      </c>
      <c r="K181">
        <f>H181-G181</f>
        <v/>
      </c>
      <c r="L181" t="n">
        <v/>
      </c>
      <c r="M181" t="n">
        <v>0</v>
      </c>
      <c r="N181" t="n">
        <v>0</v>
      </c>
    </row>
    <row r="182">
      <c r="A182" t="inlineStr">
        <is>
          <t>CAND1181</t>
        </is>
      </c>
      <c r="B182" t="inlineStr">
        <is>
          <t>Job Portal</t>
        </is>
      </c>
      <c r="C182" t="inlineStr">
        <is>
          <t>Operations</t>
        </is>
      </c>
      <c r="D182" t="inlineStr">
        <is>
          <t>Operations Analyst</t>
        </is>
      </c>
      <c r="E182" s="2" t="n">
        <v>45700</v>
      </c>
      <c r="F182" t="inlineStr">
        <is>
          <t>Screened</t>
        </is>
      </c>
      <c r="G182" s="2" t="n">
        <v>45711</v>
      </c>
      <c r="H182" s="2" t="n">
        <v>45714</v>
      </c>
      <c r="I182" s="3" t="n">
        <v>18377</v>
      </c>
      <c r="J182" t="inlineStr">
        <is>
          <t>Rejected</t>
        </is>
      </c>
      <c r="K182">
        <f>H182-G182</f>
        <v/>
      </c>
      <c r="L182" t="n">
        <v/>
      </c>
      <c r="M182" t="n">
        <v>0</v>
      </c>
      <c r="N182" t="n">
        <v>0</v>
      </c>
    </row>
    <row r="183">
      <c r="A183" t="inlineStr">
        <is>
          <t>CAND1182</t>
        </is>
      </c>
      <c r="B183" t="inlineStr">
        <is>
          <t>Campus</t>
        </is>
      </c>
      <c r="C183" t="inlineStr">
        <is>
          <t>Operations</t>
        </is>
      </c>
      <c r="D183" t="inlineStr">
        <is>
          <t>Operations Executive</t>
        </is>
      </c>
      <c r="E183" s="2" t="n">
        <v>46005</v>
      </c>
      <c r="F183" t="inlineStr">
        <is>
          <t>Rejected</t>
        </is>
      </c>
      <c r="G183" s="2" t="n">
        <v>46014</v>
      </c>
      <c r="H183" s="2" t="n">
        <v>46019</v>
      </c>
      <c r="I183" s="3" t="n">
        <v>16582</v>
      </c>
      <c r="J183" t="inlineStr">
        <is>
          <t>Rejected</t>
        </is>
      </c>
      <c r="K183">
        <f>H183-G183</f>
        <v/>
      </c>
      <c r="L183" t="n">
        <v/>
      </c>
      <c r="M183" t="n">
        <v>0</v>
      </c>
      <c r="N183" t="n">
        <v>0</v>
      </c>
    </row>
    <row r="184">
      <c r="A184" t="inlineStr">
        <is>
          <t>CAND1183</t>
        </is>
      </c>
      <c r="B184" t="inlineStr">
        <is>
          <t>Referral</t>
        </is>
      </c>
      <c r="C184" t="inlineStr">
        <is>
          <t>IT</t>
        </is>
      </c>
      <c r="D184" t="inlineStr">
        <is>
          <t>IT Analyst</t>
        </is>
      </c>
      <c r="E184" s="2" t="n">
        <v>45949</v>
      </c>
      <c r="F184" t="inlineStr">
        <is>
          <t>Interviewed</t>
        </is>
      </c>
      <c r="G184" s="2" t="n">
        <v>45956</v>
      </c>
      <c r="H184" s="2" t="n">
        <v>45961</v>
      </c>
      <c r="I184" s="3" t="n">
        <v>11271</v>
      </c>
      <c r="J184" t="inlineStr">
        <is>
          <t>Rejected</t>
        </is>
      </c>
      <c r="K184">
        <f>H184-G184</f>
        <v/>
      </c>
      <c r="L184" t="n">
        <v/>
      </c>
      <c r="M184" t="n">
        <v>0</v>
      </c>
      <c r="N184" t="n">
        <v>0</v>
      </c>
    </row>
    <row r="185">
      <c r="A185" t="inlineStr">
        <is>
          <t>CAND1184</t>
        </is>
      </c>
      <c r="B185" t="inlineStr">
        <is>
          <t>Referral</t>
        </is>
      </c>
      <c r="C185" t="inlineStr">
        <is>
          <t>Finance</t>
        </is>
      </c>
      <c r="D185" t="inlineStr">
        <is>
          <t>Finance Analyst</t>
        </is>
      </c>
      <c r="E185" s="2" t="n">
        <v>45780</v>
      </c>
      <c r="F185" t="inlineStr">
        <is>
          <t>Hired</t>
        </is>
      </c>
      <c r="G185" s="2" t="n">
        <v>45784</v>
      </c>
      <c r="H185" s="2" t="n">
        <v>45790</v>
      </c>
      <c r="I185" s="3" t="n">
        <v>22442</v>
      </c>
      <c r="J185" t="inlineStr">
        <is>
          <t>Hired</t>
        </is>
      </c>
      <c r="K185">
        <f>H185-G185</f>
        <v/>
      </c>
      <c r="L185" t="n">
        <v>10</v>
      </c>
      <c r="M185" t="n">
        <v>1</v>
      </c>
      <c r="N185" t="n">
        <v>1</v>
      </c>
    </row>
    <row r="186">
      <c r="A186" t="inlineStr">
        <is>
          <t>CAND1185</t>
        </is>
      </c>
      <c r="B186" t="inlineStr">
        <is>
          <t>Referral</t>
        </is>
      </c>
      <c r="C186" t="inlineStr">
        <is>
          <t>Marketing</t>
        </is>
      </c>
      <c r="D186" t="inlineStr">
        <is>
          <t>Marketing Analyst</t>
        </is>
      </c>
      <c r="E186" s="2" t="n">
        <v>45893</v>
      </c>
      <c r="F186" t="inlineStr">
        <is>
          <t>Rejected</t>
        </is>
      </c>
      <c r="G186" s="2" t="n">
        <v>45901</v>
      </c>
      <c r="H186" s="2" t="n">
        <v>45908</v>
      </c>
      <c r="I186" s="3" t="n">
        <v>20180</v>
      </c>
      <c r="J186" t="inlineStr">
        <is>
          <t>Rejected</t>
        </is>
      </c>
      <c r="K186">
        <f>H186-G186</f>
        <v/>
      </c>
      <c r="L186" t="n">
        <v/>
      </c>
      <c r="M186" t="n">
        <v>0</v>
      </c>
      <c r="N186" t="n">
        <v>0</v>
      </c>
    </row>
    <row r="187">
      <c r="A187" t="inlineStr">
        <is>
          <t>CAND1186</t>
        </is>
      </c>
      <c r="B187" t="inlineStr">
        <is>
          <t>Referral</t>
        </is>
      </c>
      <c r="C187" t="inlineStr">
        <is>
          <t>Marketing</t>
        </is>
      </c>
      <c r="D187" t="inlineStr">
        <is>
          <t>Marketing Analyst</t>
        </is>
      </c>
      <c r="E187" s="2" t="n">
        <v>45777</v>
      </c>
      <c r="F187" t="inlineStr">
        <is>
          <t>Rejected</t>
        </is>
      </c>
      <c r="G187" s="2" t="n">
        <v>45786</v>
      </c>
      <c r="H187" s="2" t="n">
        <v>45790</v>
      </c>
      <c r="I187" s="3" t="n">
        <v>5289</v>
      </c>
      <c r="J187" t="inlineStr">
        <is>
          <t>Rejected</t>
        </is>
      </c>
      <c r="K187">
        <f>H187-G187</f>
        <v/>
      </c>
      <c r="L187" t="n">
        <v/>
      </c>
      <c r="M187" t="n">
        <v>0</v>
      </c>
      <c r="N187" t="n">
        <v>0</v>
      </c>
    </row>
    <row r="188">
      <c r="A188" t="inlineStr">
        <is>
          <t>CAND1187</t>
        </is>
      </c>
      <c r="B188" t="inlineStr">
        <is>
          <t>Job Portal</t>
        </is>
      </c>
      <c r="C188" t="inlineStr">
        <is>
          <t>Sales</t>
        </is>
      </c>
      <c r="D188" t="inlineStr">
        <is>
          <t>Sales Analyst</t>
        </is>
      </c>
      <c r="E188" s="2" t="n">
        <v>45865</v>
      </c>
      <c r="F188" t="inlineStr">
        <is>
          <t>Hired</t>
        </is>
      </c>
      <c r="G188" s="2" t="n">
        <v>45867</v>
      </c>
      <c r="H188" s="2" t="n">
        <v>45872</v>
      </c>
      <c r="I188" s="3" t="n">
        <v>34078</v>
      </c>
      <c r="J188" t="inlineStr">
        <is>
          <t>Hired</t>
        </is>
      </c>
      <c r="K188">
        <f>H188-G188</f>
        <v/>
      </c>
      <c r="L188" t="n">
        <v>7</v>
      </c>
      <c r="M188" t="n">
        <v>1</v>
      </c>
      <c r="N188" t="n">
        <v>1</v>
      </c>
    </row>
    <row r="189">
      <c r="A189" t="inlineStr">
        <is>
          <t>CAND1188</t>
        </is>
      </c>
      <c r="B189" t="inlineStr">
        <is>
          <t>Job Portal</t>
        </is>
      </c>
      <c r="C189" t="inlineStr">
        <is>
          <t>HR</t>
        </is>
      </c>
      <c r="D189" t="inlineStr">
        <is>
          <t>HR Analyst</t>
        </is>
      </c>
      <c r="E189" s="2" t="n">
        <v>46015</v>
      </c>
      <c r="F189" t="inlineStr">
        <is>
          <t>Hired</t>
        </is>
      </c>
      <c r="G189" s="2" t="n">
        <v>46026</v>
      </c>
      <c r="H189" s="2" t="n">
        <v>46030</v>
      </c>
      <c r="I189" s="3" t="n">
        <v>20385</v>
      </c>
      <c r="J189" t="inlineStr">
        <is>
          <t>Hired</t>
        </is>
      </c>
      <c r="K189">
        <f>H189-G189</f>
        <v/>
      </c>
      <c r="L189" t="n">
        <v>15</v>
      </c>
      <c r="M189" t="n">
        <v>1</v>
      </c>
      <c r="N189" t="n">
        <v>1</v>
      </c>
    </row>
    <row r="190">
      <c r="A190" t="inlineStr">
        <is>
          <t>CAND1189</t>
        </is>
      </c>
      <c r="B190" t="inlineStr">
        <is>
          <t>Referral</t>
        </is>
      </c>
      <c r="C190" t="inlineStr">
        <is>
          <t>Sales</t>
        </is>
      </c>
      <c r="D190" t="inlineStr">
        <is>
          <t>Sales Analyst</t>
        </is>
      </c>
      <c r="E190" s="2" t="n">
        <v>45858</v>
      </c>
      <c r="F190" t="inlineStr">
        <is>
          <t>Rejected</t>
        </is>
      </c>
      <c r="G190" s="2" t="n">
        <v>45863</v>
      </c>
      <c r="H190" s="2" t="n">
        <v>45864</v>
      </c>
      <c r="I190" s="3" t="n">
        <v>18384</v>
      </c>
      <c r="J190" t="inlineStr">
        <is>
          <t>Rejected</t>
        </is>
      </c>
      <c r="K190">
        <f>H190-G190</f>
        <v/>
      </c>
      <c r="L190" t="n">
        <v/>
      </c>
      <c r="M190" t="n">
        <v>0</v>
      </c>
      <c r="N190" t="n">
        <v>0</v>
      </c>
    </row>
    <row r="191">
      <c r="A191" t="inlineStr">
        <is>
          <t>CAND1190</t>
        </is>
      </c>
      <c r="B191" t="inlineStr">
        <is>
          <t>Job Portal</t>
        </is>
      </c>
      <c r="C191" t="inlineStr">
        <is>
          <t>Marketing</t>
        </is>
      </c>
      <c r="D191" t="inlineStr">
        <is>
          <t>Marketing Analyst</t>
        </is>
      </c>
      <c r="E191" s="2" t="n">
        <v>45818</v>
      </c>
      <c r="F191" t="inlineStr">
        <is>
          <t>Hired</t>
        </is>
      </c>
      <c r="G191" s="2" t="n">
        <v>45829</v>
      </c>
      <c r="H191" s="2" t="n">
        <v>45833</v>
      </c>
      <c r="I191" s="3" t="n">
        <v>31363</v>
      </c>
      <c r="J191" t="inlineStr">
        <is>
          <t>Hired</t>
        </is>
      </c>
      <c r="K191">
        <f>H191-G191</f>
        <v/>
      </c>
      <c r="L191" t="n">
        <v>15</v>
      </c>
      <c r="M191" t="n">
        <v>1</v>
      </c>
      <c r="N191" t="n">
        <v>1</v>
      </c>
    </row>
    <row r="192">
      <c r="A192" t="inlineStr">
        <is>
          <t>CAND1191</t>
        </is>
      </c>
      <c r="B192" t="inlineStr">
        <is>
          <t>LinkedIn</t>
        </is>
      </c>
      <c r="C192" t="inlineStr">
        <is>
          <t>Finance</t>
        </is>
      </c>
      <c r="D192" t="inlineStr">
        <is>
          <t>Finance Manager</t>
        </is>
      </c>
      <c r="E192" s="2" t="n">
        <v>45882</v>
      </c>
      <c r="F192" t="inlineStr">
        <is>
          <t>Rejected</t>
        </is>
      </c>
      <c r="G192" s="2" t="n">
        <v>45887</v>
      </c>
      <c r="H192" s="2" t="n">
        <v>45892</v>
      </c>
      <c r="I192" s="3" t="n">
        <v>23815</v>
      </c>
      <c r="J192" t="inlineStr">
        <is>
          <t>Rejected</t>
        </is>
      </c>
      <c r="K192">
        <f>H192-G192</f>
        <v/>
      </c>
      <c r="L192" t="n">
        <v/>
      </c>
      <c r="M192" t="n">
        <v>0</v>
      </c>
      <c r="N192" t="n">
        <v>0</v>
      </c>
    </row>
    <row r="193">
      <c r="A193" t="inlineStr">
        <is>
          <t>CAND1192</t>
        </is>
      </c>
      <c r="B193" t="inlineStr">
        <is>
          <t>Referral</t>
        </is>
      </c>
      <c r="C193" t="inlineStr">
        <is>
          <t>Marketing</t>
        </is>
      </c>
      <c r="D193" t="inlineStr">
        <is>
          <t>Marketing Analyst</t>
        </is>
      </c>
      <c r="E193" s="2" t="n">
        <v>45740</v>
      </c>
      <c r="F193" t="inlineStr">
        <is>
          <t>Interviewed</t>
        </is>
      </c>
      <c r="G193" s="2" t="n">
        <v>45746</v>
      </c>
      <c r="H193" s="2" t="n">
        <v>45753</v>
      </c>
      <c r="I193" s="3" t="n">
        <v>9200</v>
      </c>
      <c r="J193" t="inlineStr">
        <is>
          <t>Rejected</t>
        </is>
      </c>
      <c r="K193">
        <f>H193-G193</f>
        <v/>
      </c>
      <c r="L193" t="n">
        <v/>
      </c>
      <c r="M193" t="n">
        <v>0</v>
      </c>
      <c r="N193" t="n">
        <v>0</v>
      </c>
    </row>
    <row r="194">
      <c r="A194" t="inlineStr">
        <is>
          <t>CAND1193</t>
        </is>
      </c>
      <c r="B194" t="inlineStr">
        <is>
          <t>LinkedIn</t>
        </is>
      </c>
      <c r="C194" t="inlineStr">
        <is>
          <t>Operations</t>
        </is>
      </c>
      <c r="D194" t="inlineStr">
        <is>
          <t>Operations Manager</t>
        </is>
      </c>
      <c r="E194" s="2" t="n">
        <v>46001</v>
      </c>
      <c r="F194" t="inlineStr">
        <is>
          <t>Screened</t>
        </is>
      </c>
      <c r="G194" s="2" t="n">
        <v>46006</v>
      </c>
      <c r="H194" s="2" t="n">
        <v>46013</v>
      </c>
      <c r="I194" s="3" t="n">
        <v>22175</v>
      </c>
      <c r="J194" t="inlineStr">
        <is>
          <t>Rejected</t>
        </is>
      </c>
      <c r="K194">
        <f>H194-G194</f>
        <v/>
      </c>
      <c r="L194" t="n">
        <v/>
      </c>
      <c r="M194" t="n">
        <v>0</v>
      </c>
      <c r="N194" t="n">
        <v>0</v>
      </c>
    </row>
    <row r="195">
      <c r="A195" t="inlineStr">
        <is>
          <t>CAND1194</t>
        </is>
      </c>
      <c r="B195" t="inlineStr">
        <is>
          <t>Job Portal</t>
        </is>
      </c>
      <c r="C195" t="inlineStr">
        <is>
          <t>HR</t>
        </is>
      </c>
      <c r="D195" t="inlineStr">
        <is>
          <t>HR Manager</t>
        </is>
      </c>
      <c r="E195" s="2" t="n">
        <v>45964</v>
      </c>
      <c r="F195" t="inlineStr">
        <is>
          <t>Hired</t>
        </is>
      </c>
      <c r="G195" s="2" t="n">
        <v>45972</v>
      </c>
      <c r="H195" s="2" t="n">
        <v>45979</v>
      </c>
      <c r="I195" s="3" t="n">
        <v>27791</v>
      </c>
      <c r="J195" t="inlineStr">
        <is>
          <t>Hired</t>
        </is>
      </c>
      <c r="K195">
        <f>H195-G195</f>
        <v/>
      </c>
      <c r="L195" t="n">
        <v>15</v>
      </c>
      <c r="M195" t="n">
        <v>1</v>
      </c>
      <c r="N195" t="n">
        <v>1</v>
      </c>
    </row>
    <row r="196">
      <c r="A196" t="inlineStr">
        <is>
          <t>CAND1195</t>
        </is>
      </c>
      <c r="B196" t="inlineStr">
        <is>
          <t>Job Portal</t>
        </is>
      </c>
      <c r="C196" t="inlineStr">
        <is>
          <t>IT</t>
        </is>
      </c>
      <c r="D196" t="inlineStr">
        <is>
          <t>IT Analyst</t>
        </is>
      </c>
      <c r="E196" s="2" t="n">
        <v>45809</v>
      </c>
      <c r="F196" t="inlineStr">
        <is>
          <t>Interviewed</t>
        </is>
      </c>
      <c r="G196" s="2" t="n">
        <v>45818</v>
      </c>
      <c r="H196" s="2" t="n">
        <v>45822</v>
      </c>
      <c r="I196" s="3" t="n">
        <v>21735</v>
      </c>
      <c r="J196" t="inlineStr">
        <is>
          <t>Rejected</t>
        </is>
      </c>
      <c r="K196">
        <f>H196-G196</f>
        <v/>
      </c>
      <c r="L196" t="n">
        <v/>
      </c>
      <c r="M196" t="n">
        <v>0</v>
      </c>
      <c r="N196" t="n">
        <v>0</v>
      </c>
    </row>
    <row r="197">
      <c r="A197" t="inlineStr">
        <is>
          <t>CAND1196</t>
        </is>
      </c>
      <c r="B197" t="inlineStr">
        <is>
          <t>Job Portal</t>
        </is>
      </c>
      <c r="C197" t="inlineStr">
        <is>
          <t>Marketing</t>
        </is>
      </c>
      <c r="D197" t="inlineStr">
        <is>
          <t>Marketing Analyst</t>
        </is>
      </c>
      <c r="E197" s="2" t="n">
        <v>45897</v>
      </c>
      <c r="F197" t="inlineStr">
        <is>
          <t>Rejected</t>
        </is>
      </c>
      <c r="G197" s="2" t="n">
        <v>45900</v>
      </c>
      <c r="H197" s="2" t="n">
        <v>45904</v>
      </c>
      <c r="I197" s="3" t="n">
        <v>6499</v>
      </c>
      <c r="J197" t="inlineStr">
        <is>
          <t>Rejected</t>
        </is>
      </c>
      <c r="K197">
        <f>H197-G197</f>
        <v/>
      </c>
      <c r="L197" t="n">
        <v/>
      </c>
      <c r="M197" t="n">
        <v>0</v>
      </c>
      <c r="N197" t="n">
        <v>0</v>
      </c>
    </row>
    <row r="198">
      <c r="A198" t="inlineStr">
        <is>
          <t>CAND1197</t>
        </is>
      </c>
      <c r="B198" t="inlineStr">
        <is>
          <t>Campus</t>
        </is>
      </c>
      <c r="C198" t="inlineStr">
        <is>
          <t>Sales</t>
        </is>
      </c>
      <c r="D198" t="inlineStr">
        <is>
          <t>Sales Analyst</t>
        </is>
      </c>
      <c r="E198" s="2" t="n">
        <v>45790</v>
      </c>
      <c r="F198" t="inlineStr">
        <is>
          <t>Hired</t>
        </is>
      </c>
      <c r="G198" s="2" t="n">
        <v>45798</v>
      </c>
      <c r="H198" s="2" t="n">
        <v>45799</v>
      </c>
      <c r="I198" s="3" t="n">
        <v>19324</v>
      </c>
      <c r="J198" t="inlineStr">
        <is>
          <t>Hired</t>
        </is>
      </c>
      <c r="K198">
        <f>H198-G198</f>
        <v/>
      </c>
      <c r="L198" t="n">
        <v>9</v>
      </c>
      <c r="M198" t="n">
        <v>1</v>
      </c>
      <c r="N198" t="n">
        <v>1</v>
      </c>
    </row>
    <row r="199">
      <c r="A199" t="inlineStr">
        <is>
          <t>CAND1198</t>
        </is>
      </c>
      <c r="B199" t="inlineStr">
        <is>
          <t>Job Portal</t>
        </is>
      </c>
      <c r="C199" t="inlineStr">
        <is>
          <t>Sales</t>
        </is>
      </c>
      <c r="D199" t="inlineStr">
        <is>
          <t>Sales Manager</t>
        </is>
      </c>
      <c r="E199" s="2" t="n">
        <v>45694</v>
      </c>
      <c r="F199" t="inlineStr">
        <is>
          <t>Hired</t>
        </is>
      </c>
      <c r="G199" s="2" t="n">
        <v>45702</v>
      </c>
      <c r="H199" s="2" t="n">
        <v>45709</v>
      </c>
      <c r="I199" s="3" t="n">
        <v>26730</v>
      </c>
      <c r="J199" t="inlineStr">
        <is>
          <t>Hired</t>
        </is>
      </c>
      <c r="K199">
        <f>H199-G199</f>
        <v/>
      </c>
      <c r="L199" t="n">
        <v>15</v>
      </c>
      <c r="M199" t="n">
        <v>1</v>
      </c>
      <c r="N199" t="n">
        <v>1</v>
      </c>
    </row>
    <row r="200">
      <c r="A200" t="inlineStr">
        <is>
          <t>CAND1199</t>
        </is>
      </c>
      <c r="B200" t="inlineStr">
        <is>
          <t>Job Portal</t>
        </is>
      </c>
      <c r="C200" t="inlineStr">
        <is>
          <t>Sales</t>
        </is>
      </c>
      <c r="D200" t="inlineStr">
        <is>
          <t>Sales Executive</t>
        </is>
      </c>
      <c r="E200" s="2" t="n">
        <v>45993</v>
      </c>
      <c r="F200" t="inlineStr">
        <is>
          <t>Hired</t>
        </is>
      </c>
      <c r="G200" s="2" t="n">
        <v>46004</v>
      </c>
      <c r="H200" s="2" t="n">
        <v>46011</v>
      </c>
      <c r="I200" s="3" t="n">
        <v>36258</v>
      </c>
      <c r="J200" t="inlineStr">
        <is>
          <t>Hired</t>
        </is>
      </c>
      <c r="K200">
        <f>H200-G200</f>
        <v/>
      </c>
      <c r="L200" t="n">
        <v>18</v>
      </c>
      <c r="M200" t="n">
        <v>1</v>
      </c>
      <c r="N200" t="n">
        <v>1</v>
      </c>
    </row>
    <row r="201">
      <c r="A201" t="inlineStr">
        <is>
          <t>CAND1200</t>
        </is>
      </c>
      <c r="B201" t="inlineStr">
        <is>
          <t>LinkedIn</t>
        </is>
      </c>
      <c r="C201" t="inlineStr">
        <is>
          <t>HR</t>
        </is>
      </c>
      <c r="D201" t="inlineStr">
        <is>
          <t>HR Executive</t>
        </is>
      </c>
      <c r="E201" s="2" t="n">
        <v>45972</v>
      </c>
      <c r="F201" t="inlineStr">
        <is>
          <t>Hired</t>
        </is>
      </c>
      <c r="G201" s="2" t="n">
        <v>45977</v>
      </c>
      <c r="H201" s="2" t="n">
        <v>45983</v>
      </c>
      <c r="I201" s="3" t="n">
        <v>25263</v>
      </c>
      <c r="J201" t="inlineStr">
        <is>
          <t>Hired</t>
        </is>
      </c>
      <c r="K201">
        <f>H201-G201</f>
        <v/>
      </c>
      <c r="L201" t="n">
        <v>11</v>
      </c>
      <c r="M201" t="n">
        <v>1</v>
      </c>
      <c r="N201" t="n">
        <v>1</v>
      </c>
    </row>
    <row r="202">
      <c r="A202" t="inlineStr">
        <is>
          <t>CAND1201</t>
        </is>
      </c>
      <c r="B202" t="inlineStr">
        <is>
          <t>Job Portal</t>
        </is>
      </c>
      <c r="C202" t="inlineStr">
        <is>
          <t>Marketing</t>
        </is>
      </c>
      <c r="D202" t="inlineStr">
        <is>
          <t>Marketing Manager</t>
        </is>
      </c>
      <c r="E202" s="2" t="n">
        <v>45709</v>
      </c>
      <c r="F202" t="inlineStr">
        <is>
          <t>Screened</t>
        </is>
      </c>
      <c r="G202" s="2" t="n">
        <v>45716</v>
      </c>
      <c r="H202" s="2" t="n">
        <v>45721</v>
      </c>
      <c r="I202" s="3" t="n">
        <v>12543</v>
      </c>
      <c r="J202" t="inlineStr">
        <is>
          <t>Rejected</t>
        </is>
      </c>
      <c r="K202">
        <f>H202-G202</f>
        <v/>
      </c>
      <c r="L202" t="n">
        <v/>
      </c>
      <c r="M202" t="n">
        <v>0</v>
      </c>
      <c r="N202" t="n">
        <v>0</v>
      </c>
    </row>
    <row r="203">
      <c r="A203" t="inlineStr">
        <is>
          <t>CAND1202</t>
        </is>
      </c>
      <c r="B203" t="inlineStr">
        <is>
          <t>LinkedIn</t>
        </is>
      </c>
      <c r="C203" t="inlineStr">
        <is>
          <t>Sales</t>
        </is>
      </c>
      <c r="D203" t="inlineStr">
        <is>
          <t>Sales Executive</t>
        </is>
      </c>
      <c r="E203" s="2" t="n">
        <v>45765</v>
      </c>
      <c r="F203" t="inlineStr">
        <is>
          <t>Rejected</t>
        </is>
      </c>
      <c r="G203" s="2" t="n">
        <v>45770</v>
      </c>
      <c r="H203" s="2" t="n">
        <v>45772</v>
      </c>
      <c r="I203" s="3" t="n">
        <v>4895</v>
      </c>
      <c r="J203" t="inlineStr">
        <is>
          <t>Rejected</t>
        </is>
      </c>
      <c r="K203">
        <f>H203-G203</f>
        <v/>
      </c>
      <c r="L203" t="n">
        <v/>
      </c>
      <c r="M203" t="n">
        <v>0</v>
      </c>
      <c r="N203" t="n">
        <v>0</v>
      </c>
    </row>
    <row r="204">
      <c r="A204" t="inlineStr">
        <is>
          <t>CAND1203</t>
        </is>
      </c>
      <c r="B204" t="inlineStr">
        <is>
          <t>Campus</t>
        </is>
      </c>
      <c r="C204" t="inlineStr">
        <is>
          <t>Sales</t>
        </is>
      </c>
      <c r="D204" t="inlineStr">
        <is>
          <t>Sales Analyst</t>
        </is>
      </c>
      <c r="E204" s="2" t="n">
        <v>45754</v>
      </c>
      <c r="F204" t="inlineStr">
        <is>
          <t>Hired</t>
        </is>
      </c>
      <c r="G204" s="2" t="n">
        <v>45758</v>
      </c>
      <c r="H204" s="2" t="n">
        <v>45763</v>
      </c>
      <c r="I204" s="3" t="n">
        <v>24376</v>
      </c>
      <c r="J204" t="inlineStr">
        <is>
          <t>Hired</t>
        </is>
      </c>
      <c r="K204">
        <f>H204-G204</f>
        <v/>
      </c>
      <c r="L204" t="n">
        <v>9</v>
      </c>
      <c r="M204" t="n">
        <v>1</v>
      </c>
      <c r="N204" t="n">
        <v>1</v>
      </c>
    </row>
    <row r="205">
      <c r="A205" t="inlineStr">
        <is>
          <t>CAND1204</t>
        </is>
      </c>
      <c r="B205" t="inlineStr">
        <is>
          <t>Job Portal</t>
        </is>
      </c>
      <c r="C205" t="inlineStr">
        <is>
          <t>Finance</t>
        </is>
      </c>
      <c r="D205" t="inlineStr">
        <is>
          <t>Finance Manager</t>
        </is>
      </c>
      <c r="E205" s="2" t="n">
        <v>45865</v>
      </c>
      <c r="F205" t="inlineStr">
        <is>
          <t>Screened</t>
        </is>
      </c>
      <c r="G205" s="2" t="n">
        <v>45872</v>
      </c>
      <c r="H205" s="2" t="n">
        <v>45875</v>
      </c>
      <c r="I205" s="3" t="n">
        <v>4654</v>
      </c>
      <c r="J205" t="inlineStr">
        <is>
          <t>Rejected</t>
        </is>
      </c>
      <c r="K205">
        <f>H205-G205</f>
        <v/>
      </c>
      <c r="L205" t="n">
        <v/>
      </c>
      <c r="M205" t="n">
        <v>0</v>
      </c>
      <c r="N205" t="n">
        <v>0</v>
      </c>
    </row>
    <row r="206">
      <c r="A206" t="inlineStr">
        <is>
          <t>CAND1205</t>
        </is>
      </c>
      <c r="B206" t="inlineStr">
        <is>
          <t>Campus</t>
        </is>
      </c>
      <c r="C206" t="inlineStr">
        <is>
          <t>Finance</t>
        </is>
      </c>
      <c r="D206" t="inlineStr">
        <is>
          <t>Finance Executive</t>
        </is>
      </c>
      <c r="E206" s="2" t="n">
        <v>45975</v>
      </c>
      <c r="F206" t="inlineStr">
        <is>
          <t>Rejected</t>
        </is>
      </c>
      <c r="G206" s="2" t="n">
        <v>45978</v>
      </c>
      <c r="H206" s="2" t="n">
        <v>45980</v>
      </c>
      <c r="I206" s="3" t="n">
        <v>23331</v>
      </c>
      <c r="J206" t="inlineStr">
        <is>
          <t>Rejected</t>
        </is>
      </c>
      <c r="K206">
        <f>H206-G206</f>
        <v/>
      </c>
      <c r="L206" t="n">
        <v/>
      </c>
      <c r="M206" t="n">
        <v>0</v>
      </c>
      <c r="N206" t="n">
        <v>0</v>
      </c>
    </row>
    <row r="207">
      <c r="A207" t="inlineStr">
        <is>
          <t>CAND1206</t>
        </is>
      </c>
      <c r="B207" t="inlineStr">
        <is>
          <t>LinkedIn</t>
        </is>
      </c>
      <c r="C207" t="inlineStr">
        <is>
          <t>Marketing</t>
        </is>
      </c>
      <c r="D207" t="inlineStr">
        <is>
          <t>Marketing Analyst</t>
        </is>
      </c>
      <c r="E207" s="2" t="n">
        <v>45685</v>
      </c>
      <c r="F207" t="inlineStr">
        <is>
          <t>Rejected</t>
        </is>
      </c>
      <c r="G207" s="2" t="n">
        <v>45692</v>
      </c>
      <c r="H207" s="2" t="n">
        <v>45694</v>
      </c>
      <c r="I207" s="3" t="n">
        <v>20061</v>
      </c>
      <c r="J207" t="inlineStr">
        <is>
          <t>Rejected</t>
        </is>
      </c>
      <c r="K207">
        <f>H207-G207</f>
        <v/>
      </c>
      <c r="L207" t="n">
        <v/>
      </c>
      <c r="M207" t="n">
        <v>0</v>
      </c>
      <c r="N207" t="n">
        <v>0</v>
      </c>
    </row>
    <row r="208">
      <c r="A208" t="inlineStr">
        <is>
          <t>CAND1207</t>
        </is>
      </c>
      <c r="B208" t="inlineStr">
        <is>
          <t>Job Portal</t>
        </is>
      </c>
      <c r="C208" t="inlineStr">
        <is>
          <t>Sales</t>
        </is>
      </c>
      <c r="D208" t="inlineStr">
        <is>
          <t>Sales Executive</t>
        </is>
      </c>
      <c r="E208" s="2" t="n">
        <v>45720</v>
      </c>
      <c r="F208" t="inlineStr">
        <is>
          <t>Rejected</t>
        </is>
      </c>
      <c r="G208" s="2" t="n">
        <v>45727</v>
      </c>
      <c r="H208" s="2" t="n">
        <v>45733</v>
      </c>
      <c r="I208" s="3" t="n">
        <v>14921</v>
      </c>
      <c r="J208" t="inlineStr">
        <is>
          <t>Rejected</t>
        </is>
      </c>
      <c r="K208">
        <f>H208-G208</f>
        <v/>
      </c>
      <c r="L208" t="n">
        <v/>
      </c>
      <c r="M208" t="n">
        <v>0</v>
      </c>
      <c r="N208" t="n">
        <v>0</v>
      </c>
    </row>
    <row r="209">
      <c r="A209" t="inlineStr">
        <is>
          <t>CAND1208</t>
        </is>
      </c>
      <c r="B209" t="inlineStr">
        <is>
          <t>Campus</t>
        </is>
      </c>
      <c r="C209" t="inlineStr">
        <is>
          <t>Operations</t>
        </is>
      </c>
      <c r="D209" t="inlineStr">
        <is>
          <t>Operations Manager</t>
        </is>
      </c>
      <c r="E209" s="2" t="n">
        <v>45763</v>
      </c>
      <c r="F209" t="inlineStr">
        <is>
          <t>Hired</t>
        </is>
      </c>
      <c r="G209" s="2" t="n">
        <v>45773</v>
      </c>
      <c r="H209" s="2" t="n">
        <v>45779</v>
      </c>
      <c r="I209" s="3" t="n">
        <v>25491</v>
      </c>
      <c r="J209" t="inlineStr">
        <is>
          <t>Hired</t>
        </is>
      </c>
      <c r="K209">
        <f>H209-G209</f>
        <v/>
      </c>
      <c r="L209" t="n">
        <v>16</v>
      </c>
      <c r="M209" t="n">
        <v>1</v>
      </c>
      <c r="N209" t="n">
        <v>1</v>
      </c>
    </row>
    <row r="210">
      <c r="A210" t="inlineStr">
        <is>
          <t>CAND1209</t>
        </is>
      </c>
      <c r="B210" t="inlineStr">
        <is>
          <t>Job Portal</t>
        </is>
      </c>
      <c r="C210" t="inlineStr">
        <is>
          <t>Operations</t>
        </is>
      </c>
      <c r="D210" t="inlineStr">
        <is>
          <t>Operations Manager</t>
        </is>
      </c>
      <c r="E210" s="2" t="n">
        <v>45781</v>
      </c>
      <c r="F210" t="inlineStr">
        <is>
          <t>Hired</t>
        </is>
      </c>
      <c r="G210" s="2" t="n">
        <v>45785</v>
      </c>
      <c r="H210" s="2" t="n">
        <v>45788</v>
      </c>
      <c r="I210" s="3" t="n">
        <v>36643</v>
      </c>
      <c r="J210" t="inlineStr">
        <is>
          <t>Hired</t>
        </is>
      </c>
      <c r="K210">
        <f>H210-G210</f>
        <v/>
      </c>
      <c r="L210" t="n">
        <v>7</v>
      </c>
      <c r="M210" t="n">
        <v>1</v>
      </c>
      <c r="N210" t="n">
        <v>1</v>
      </c>
    </row>
    <row r="211">
      <c r="A211" t="inlineStr">
        <is>
          <t>CAND1210</t>
        </is>
      </c>
      <c r="B211" t="inlineStr">
        <is>
          <t>LinkedIn</t>
        </is>
      </c>
      <c r="C211" t="inlineStr">
        <is>
          <t>IT</t>
        </is>
      </c>
      <c r="D211" t="inlineStr">
        <is>
          <t>IT Executive</t>
        </is>
      </c>
      <c r="E211" s="2" t="n">
        <v>45741</v>
      </c>
      <c r="F211" t="inlineStr">
        <is>
          <t>Screened</t>
        </is>
      </c>
      <c r="G211" s="2" t="n">
        <v>45752</v>
      </c>
      <c r="H211" s="2" t="n">
        <v>45757</v>
      </c>
      <c r="I211" s="3" t="n">
        <v>11270</v>
      </c>
      <c r="J211" t="inlineStr">
        <is>
          <t>Rejected</t>
        </is>
      </c>
      <c r="K211">
        <f>H211-G211</f>
        <v/>
      </c>
      <c r="L211" t="n">
        <v/>
      </c>
      <c r="M211" t="n">
        <v>0</v>
      </c>
      <c r="N211" t="n">
        <v>0</v>
      </c>
    </row>
    <row r="212">
      <c r="A212" t="inlineStr">
        <is>
          <t>CAND1211</t>
        </is>
      </c>
      <c r="B212" t="inlineStr">
        <is>
          <t>LinkedIn</t>
        </is>
      </c>
      <c r="C212" t="inlineStr">
        <is>
          <t>Marketing</t>
        </is>
      </c>
      <c r="D212" t="inlineStr">
        <is>
          <t>Marketing Executive</t>
        </is>
      </c>
      <c r="E212" s="2" t="n">
        <v>45669</v>
      </c>
      <c r="F212" t="inlineStr">
        <is>
          <t>Interviewed</t>
        </is>
      </c>
      <c r="G212" s="2" t="n">
        <v>45676</v>
      </c>
      <c r="H212" s="2" t="n">
        <v>45678</v>
      </c>
      <c r="I212" s="3" t="n">
        <v>19055</v>
      </c>
      <c r="J212" t="inlineStr">
        <is>
          <t>Rejected</t>
        </is>
      </c>
      <c r="K212">
        <f>H212-G212</f>
        <v/>
      </c>
      <c r="L212" t="n">
        <v/>
      </c>
      <c r="M212" t="n">
        <v>0</v>
      </c>
      <c r="N212" t="n">
        <v>0</v>
      </c>
    </row>
    <row r="213">
      <c r="A213" t="inlineStr">
        <is>
          <t>CAND1212</t>
        </is>
      </c>
      <c r="B213" t="inlineStr">
        <is>
          <t>Referral</t>
        </is>
      </c>
      <c r="C213" t="inlineStr">
        <is>
          <t>Operations</t>
        </is>
      </c>
      <c r="D213" t="inlineStr">
        <is>
          <t>Operations Analyst</t>
        </is>
      </c>
      <c r="E213" s="2" t="n">
        <v>45818</v>
      </c>
      <c r="F213" t="inlineStr">
        <is>
          <t>Rejected</t>
        </is>
      </c>
      <c r="G213" s="2" t="n">
        <v>45826</v>
      </c>
      <c r="H213" s="2" t="n">
        <v>45829</v>
      </c>
      <c r="I213" s="3" t="n">
        <v>14804</v>
      </c>
      <c r="J213" t="inlineStr">
        <is>
          <t>Rejected</t>
        </is>
      </c>
      <c r="K213">
        <f>H213-G213</f>
        <v/>
      </c>
      <c r="L213" t="n">
        <v/>
      </c>
      <c r="M213" t="n">
        <v>0</v>
      </c>
      <c r="N213" t="n">
        <v>0</v>
      </c>
    </row>
    <row r="214">
      <c r="A214" t="inlineStr">
        <is>
          <t>CAND1213</t>
        </is>
      </c>
      <c r="B214" t="inlineStr">
        <is>
          <t>Job Portal</t>
        </is>
      </c>
      <c r="C214" t="inlineStr">
        <is>
          <t>Sales</t>
        </is>
      </c>
      <c r="D214" t="inlineStr">
        <is>
          <t>Sales Executive</t>
        </is>
      </c>
      <c r="E214" s="2" t="n">
        <v>45751</v>
      </c>
      <c r="F214" t="inlineStr">
        <is>
          <t>Screened</t>
        </is>
      </c>
      <c r="G214" s="2" t="n">
        <v>45754</v>
      </c>
      <c r="H214" s="2" t="n">
        <v>45761</v>
      </c>
      <c r="I214" s="3" t="n">
        <v>15070</v>
      </c>
      <c r="J214" t="inlineStr">
        <is>
          <t>Rejected</t>
        </is>
      </c>
      <c r="K214">
        <f>H214-G214</f>
        <v/>
      </c>
      <c r="L214" t="n">
        <v/>
      </c>
      <c r="M214" t="n">
        <v>0</v>
      </c>
      <c r="N214" t="n">
        <v>0</v>
      </c>
    </row>
    <row r="215">
      <c r="A215" t="inlineStr">
        <is>
          <t>CAND1214</t>
        </is>
      </c>
      <c r="B215" t="inlineStr">
        <is>
          <t>Job Portal</t>
        </is>
      </c>
      <c r="C215" t="inlineStr">
        <is>
          <t>Finance</t>
        </is>
      </c>
      <c r="D215" t="inlineStr">
        <is>
          <t>Finance Analyst</t>
        </is>
      </c>
      <c r="E215" s="2" t="n">
        <v>45728</v>
      </c>
      <c r="F215" t="inlineStr">
        <is>
          <t>Screened</t>
        </is>
      </c>
      <c r="G215" s="2" t="n">
        <v>45737</v>
      </c>
      <c r="H215" s="2" t="n">
        <v>45741</v>
      </c>
      <c r="I215" s="3" t="n">
        <v>23887</v>
      </c>
      <c r="J215" t="inlineStr">
        <is>
          <t>Rejected</t>
        </is>
      </c>
      <c r="K215">
        <f>H215-G215</f>
        <v/>
      </c>
      <c r="L215" t="n">
        <v/>
      </c>
      <c r="M215" t="n">
        <v>0</v>
      </c>
      <c r="N215" t="n">
        <v>0</v>
      </c>
    </row>
    <row r="216">
      <c r="A216" t="inlineStr">
        <is>
          <t>CAND1215</t>
        </is>
      </c>
      <c r="B216" t="inlineStr">
        <is>
          <t>Job Portal</t>
        </is>
      </c>
      <c r="C216" t="inlineStr">
        <is>
          <t>Sales</t>
        </is>
      </c>
      <c r="D216" t="inlineStr">
        <is>
          <t>Sales Manager</t>
        </is>
      </c>
      <c r="E216" s="2" t="n">
        <v>45967</v>
      </c>
      <c r="F216" t="inlineStr">
        <is>
          <t>Interviewed</t>
        </is>
      </c>
      <c r="G216" s="2" t="n">
        <v>45969</v>
      </c>
      <c r="H216" s="2" t="n">
        <v>45970</v>
      </c>
      <c r="I216" s="3" t="n">
        <v>5353</v>
      </c>
      <c r="J216" t="inlineStr">
        <is>
          <t>Rejected</t>
        </is>
      </c>
      <c r="K216">
        <f>H216-G216</f>
        <v/>
      </c>
      <c r="L216" t="n">
        <v/>
      </c>
      <c r="M216" t="n">
        <v>0</v>
      </c>
      <c r="N216" t="n">
        <v>0</v>
      </c>
    </row>
    <row r="217">
      <c r="A217" t="inlineStr">
        <is>
          <t>CAND1216</t>
        </is>
      </c>
      <c r="B217" t="inlineStr">
        <is>
          <t>LinkedIn</t>
        </is>
      </c>
      <c r="C217" t="inlineStr">
        <is>
          <t>Finance</t>
        </is>
      </c>
      <c r="D217" t="inlineStr">
        <is>
          <t>Finance Analyst</t>
        </is>
      </c>
      <c r="E217" s="2" t="n">
        <v>45877</v>
      </c>
      <c r="F217" t="inlineStr">
        <is>
          <t>Hired</t>
        </is>
      </c>
      <c r="G217" s="2" t="n">
        <v>45882</v>
      </c>
      <c r="H217" s="2" t="n">
        <v>45885</v>
      </c>
      <c r="I217" s="3" t="n">
        <v>34399</v>
      </c>
      <c r="J217" t="inlineStr">
        <is>
          <t>Hired</t>
        </is>
      </c>
      <c r="K217">
        <f>H217-G217</f>
        <v/>
      </c>
      <c r="L217" t="n">
        <v>8</v>
      </c>
      <c r="M217" t="n">
        <v>1</v>
      </c>
      <c r="N217" t="n">
        <v>1</v>
      </c>
    </row>
    <row r="218">
      <c r="A218" t="inlineStr">
        <is>
          <t>CAND1217</t>
        </is>
      </c>
      <c r="B218" t="inlineStr">
        <is>
          <t>Job Portal</t>
        </is>
      </c>
      <c r="C218" t="inlineStr">
        <is>
          <t>Marketing</t>
        </is>
      </c>
      <c r="D218" t="inlineStr">
        <is>
          <t>Marketing Analyst</t>
        </is>
      </c>
      <c r="E218" s="2" t="n">
        <v>46012</v>
      </c>
      <c r="F218" t="inlineStr">
        <is>
          <t>Screened</t>
        </is>
      </c>
      <c r="G218" s="2" t="n">
        <v>46017</v>
      </c>
      <c r="H218" s="2" t="n">
        <v>46018</v>
      </c>
      <c r="I218" s="3" t="n">
        <v>14249</v>
      </c>
      <c r="J218" t="inlineStr">
        <is>
          <t>Rejected</t>
        </is>
      </c>
      <c r="K218">
        <f>H218-G218</f>
        <v/>
      </c>
      <c r="L218" t="n">
        <v/>
      </c>
      <c r="M218" t="n">
        <v>0</v>
      </c>
      <c r="N218" t="n">
        <v>0</v>
      </c>
    </row>
    <row r="219">
      <c r="A219" t="inlineStr">
        <is>
          <t>CAND1218</t>
        </is>
      </c>
      <c r="B219" t="inlineStr">
        <is>
          <t>Job Portal</t>
        </is>
      </c>
      <c r="C219" t="inlineStr">
        <is>
          <t>HR</t>
        </is>
      </c>
      <c r="D219" t="inlineStr">
        <is>
          <t>HR Analyst</t>
        </is>
      </c>
      <c r="E219" s="2" t="n">
        <v>45805</v>
      </c>
      <c r="F219" t="inlineStr">
        <is>
          <t>Screened</t>
        </is>
      </c>
      <c r="G219" s="2" t="n">
        <v>45809</v>
      </c>
      <c r="H219" s="2" t="n">
        <v>45812</v>
      </c>
      <c r="I219" s="3" t="n">
        <v>20174</v>
      </c>
      <c r="J219" t="inlineStr">
        <is>
          <t>Rejected</t>
        </is>
      </c>
      <c r="K219">
        <f>H219-G219</f>
        <v/>
      </c>
      <c r="L219" t="n">
        <v/>
      </c>
      <c r="M219" t="n">
        <v>0</v>
      </c>
      <c r="N219" t="n">
        <v>0</v>
      </c>
    </row>
    <row r="220">
      <c r="A220" t="inlineStr">
        <is>
          <t>CAND1219</t>
        </is>
      </c>
      <c r="B220" t="inlineStr">
        <is>
          <t>Referral</t>
        </is>
      </c>
      <c r="C220" t="inlineStr">
        <is>
          <t>Finance</t>
        </is>
      </c>
      <c r="D220" t="inlineStr">
        <is>
          <t>Finance Analyst</t>
        </is>
      </c>
      <c r="E220" s="2" t="n">
        <v>45756</v>
      </c>
      <c r="F220" t="inlineStr">
        <is>
          <t>Screened</t>
        </is>
      </c>
      <c r="G220" s="2" t="n">
        <v>45767</v>
      </c>
      <c r="H220" s="2" t="n">
        <v>45773</v>
      </c>
      <c r="I220" s="3" t="n">
        <v>16674</v>
      </c>
      <c r="J220" t="inlineStr">
        <is>
          <t>Rejected</t>
        </is>
      </c>
      <c r="K220">
        <f>H220-G220</f>
        <v/>
      </c>
      <c r="L220" t="n">
        <v/>
      </c>
      <c r="M220" t="n">
        <v>0</v>
      </c>
      <c r="N220" t="n">
        <v>0</v>
      </c>
    </row>
    <row r="221">
      <c r="A221" t="inlineStr">
        <is>
          <t>CAND1220</t>
        </is>
      </c>
      <c r="B221" t="inlineStr">
        <is>
          <t>Job Portal</t>
        </is>
      </c>
      <c r="C221" t="inlineStr">
        <is>
          <t>Sales</t>
        </is>
      </c>
      <c r="D221" t="inlineStr">
        <is>
          <t>Sales Analyst</t>
        </is>
      </c>
      <c r="E221" s="2" t="n">
        <v>45902</v>
      </c>
      <c r="F221" t="inlineStr">
        <is>
          <t>Rejected</t>
        </is>
      </c>
      <c r="G221" s="2" t="n">
        <v>45913</v>
      </c>
      <c r="H221" s="2" t="n">
        <v>45914</v>
      </c>
      <c r="I221" s="3" t="n">
        <v>20923</v>
      </c>
      <c r="J221" t="inlineStr">
        <is>
          <t>Rejected</t>
        </is>
      </c>
      <c r="K221">
        <f>H221-G221</f>
        <v/>
      </c>
      <c r="L221" t="n">
        <v/>
      </c>
      <c r="M221" t="n">
        <v>0</v>
      </c>
      <c r="N221" t="n">
        <v>0</v>
      </c>
    </row>
    <row r="222">
      <c r="A222" t="inlineStr">
        <is>
          <t>CAND1221</t>
        </is>
      </c>
      <c r="B222" t="inlineStr">
        <is>
          <t>Referral</t>
        </is>
      </c>
      <c r="C222" t="inlineStr">
        <is>
          <t>HR</t>
        </is>
      </c>
      <c r="D222" t="inlineStr">
        <is>
          <t>HR Executive</t>
        </is>
      </c>
      <c r="E222" s="2" t="n">
        <v>45738</v>
      </c>
      <c r="F222" t="inlineStr">
        <is>
          <t>Hired</t>
        </is>
      </c>
      <c r="G222" s="2" t="n">
        <v>45749</v>
      </c>
      <c r="H222" s="2" t="n">
        <v>45756</v>
      </c>
      <c r="I222" s="3" t="n">
        <v>26956</v>
      </c>
      <c r="J222" t="inlineStr">
        <is>
          <t>Hired</t>
        </is>
      </c>
      <c r="K222">
        <f>H222-G222</f>
        <v/>
      </c>
      <c r="L222" t="n">
        <v>18</v>
      </c>
      <c r="M222" t="n">
        <v>1</v>
      </c>
      <c r="N222" t="n">
        <v>1</v>
      </c>
    </row>
    <row r="223">
      <c r="A223" t="inlineStr">
        <is>
          <t>CAND1222</t>
        </is>
      </c>
      <c r="B223" t="inlineStr">
        <is>
          <t>Referral</t>
        </is>
      </c>
      <c r="C223" t="inlineStr">
        <is>
          <t>HR</t>
        </is>
      </c>
      <c r="D223" t="inlineStr">
        <is>
          <t>HR Analyst</t>
        </is>
      </c>
      <c r="E223" s="2" t="n">
        <v>45934</v>
      </c>
      <c r="F223" t="inlineStr">
        <is>
          <t>Interviewed</t>
        </is>
      </c>
      <c r="G223" s="2" t="n">
        <v>45940</v>
      </c>
      <c r="H223" s="2" t="n">
        <v>45945</v>
      </c>
      <c r="I223" s="3" t="n">
        <v>14577</v>
      </c>
      <c r="J223" t="inlineStr">
        <is>
          <t>Rejected</t>
        </is>
      </c>
      <c r="K223">
        <f>H223-G223</f>
        <v/>
      </c>
      <c r="L223" t="n">
        <v/>
      </c>
      <c r="M223" t="n">
        <v>0</v>
      </c>
      <c r="N223" t="n">
        <v>0</v>
      </c>
    </row>
    <row r="224">
      <c r="A224" t="inlineStr">
        <is>
          <t>CAND1223</t>
        </is>
      </c>
      <c r="B224" t="inlineStr">
        <is>
          <t>Referral</t>
        </is>
      </c>
      <c r="C224" t="inlineStr">
        <is>
          <t>Finance</t>
        </is>
      </c>
      <c r="D224" t="inlineStr">
        <is>
          <t>Finance Executive</t>
        </is>
      </c>
      <c r="E224" s="2" t="n">
        <v>45780</v>
      </c>
      <c r="F224" t="inlineStr">
        <is>
          <t>Rejected</t>
        </is>
      </c>
      <c r="G224" s="2" t="n">
        <v>45789</v>
      </c>
      <c r="H224" s="2" t="n">
        <v>45790</v>
      </c>
      <c r="I224" s="3" t="n">
        <v>17859</v>
      </c>
      <c r="J224" t="inlineStr">
        <is>
          <t>Rejected</t>
        </is>
      </c>
      <c r="K224">
        <f>H224-G224</f>
        <v/>
      </c>
      <c r="L224" t="n">
        <v/>
      </c>
      <c r="M224" t="n">
        <v>0</v>
      </c>
      <c r="N224" t="n">
        <v>0</v>
      </c>
    </row>
    <row r="225">
      <c r="A225" t="inlineStr">
        <is>
          <t>CAND1224</t>
        </is>
      </c>
      <c r="B225" t="inlineStr">
        <is>
          <t>Job Portal</t>
        </is>
      </c>
      <c r="C225" t="inlineStr">
        <is>
          <t>IT</t>
        </is>
      </c>
      <c r="D225" t="inlineStr">
        <is>
          <t>IT Executive</t>
        </is>
      </c>
      <c r="E225" s="2" t="n">
        <v>45755</v>
      </c>
      <c r="F225" t="inlineStr">
        <is>
          <t>Rejected</t>
        </is>
      </c>
      <c r="G225" s="2" t="n">
        <v>45762</v>
      </c>
      <c r="H225" s="2" t="n">
        <v>45764</v>
      </c>
      <c r="I225" s="3" t="n">
        <v>4365</v>
      </c>
      <c r="J225" t="inlineStr">
        <is>
          <t>Rejected</t>
        </is>
      </c>
      <c r="K225">
        <f>H225-G225</f>
        <v/>
      </c>
      <c r="L225" t="n">
        <v/>
      </c>
      <c r="M225" t="n">
        <v>0</v>
      </c>
      <c r="N225" t="n">
        <v>0</v>
      </c>
    </row>
    <row r="226">
      <c r="A226" t="inlineStr">
        <is>
          <t>CAND1225</t>
        </is>
      </c>
      <c r="B226" t="inlineStr">
        <is>
          <t>LinkedIn</t>
        </is>
      </c>
      <c r="C226" t="inlineStr">
        <is>
          <t>Marketing</t>
        </is>
      </c>
      <c r="D226" t="inlineStr">
        <is>
          <t>Marketing Manager</t>
        </is>
      </c>
      <c r="E226" s="2" t="n">
        <v>45679</v>
      </c>
      <c r="F226" t="inlineStr">
        <is>
          <t>Screened</t>
        </is>
      </c>
      <c r="G226" s="2" t="n">
        <v>45686</v>
      </c>
      <c r="H226" s="2" t="n">
        <v>45687</v>
      </c>
      <c r="I226" s="3" t="n">
        <v>5226</v>
      </c>
      <c r="J226" t="inlineStr">
        <is>
          <t>Rejected</t>
        </is>
      </c>
      <c r="K226">
        <f>H226-G226</f>
        <v/>
      </c>
      <c r="L226" t="n">
        <v/>
      </c>
      <c r="M226" t="n">
        <v>0</v>
      </c>
      <c r="N226" t="n">
        <v>0</v>
      </c>
    </row>
    <row r="227">
      <c r="A227" t="inlineStr">
        <is>
          <t>CAND1226</t>
        </is>
      </c>
      <c r="B227" t="inlineStr">
        <is>
          <t>Referral</t>
        </is>
      </c>
      <c r="C227" t="inlineStr">
        <is>
          <t>Sales</t>
        </is>
      </c>
      <c r="D227" t="inlineStr">
        <is>
          <t>Sales Analyst</t>
        </is>
      </c>
      <c r="E227" s="2" t="n">
        <v>45818</v>
      </c>
      <c r="F227" t="inlineStr">
        <is>
          <t>Hired</t>
        </is>
      </c>
      <c r="G227" s="2" t="n">
        <v>45828</v>
      </c>
      <c r="H227" s="2" t="n">
        <v>45831</v>
      </c>
      <c r="I227" s="3" t="n">
        <v>37952</v>
      </c>
      <c r="J227" t="inlineStr">
        <is>
          <t>Hired</t>
        </is>
      </c>
      <c r="K227">
        <f>H227-G227</f>
        <v/>
      </c>
      <c r="L227" t="n">
        <v>13</v>
      </c>
      <c r="M227" t="n">
        <v>1</v>
      </c>
      <c r="N227" t="n">
        <v>1</v>
      </c>
    </row>
    <row r="228">
      <c r="A228" t="inlineStr">
        <is>
          <t>CAND1227</t>
        </is>
      </c>
      <c r="B228" t="inlineStr">
        <is>
          <t>Campus</t>
        </is>
      </c>
      <c r="C228" t="inlineStr">
        <is>
          <t>Marketing</t>
        </is>
      </c>
      <c r="D228" t="inlineStr">
        <is>
          <t>Marketing Manager</t>
        </is>
      </c>
      <c r="E228" s="2" t="n">
        <v>45692</v>
      </c>
      <c r="F228" t="inlineStr">
        <is>
          <t>Rejected</t>
        </is>
      </c>
      <c r="G228" s="2" t="n">
        <v>45701</v>
      </c>
      <c r="H228" s="2" t="n">
        <v>45706</v>
      </c>
      <c r="I228" s="3" t="n">
        <v>6764</v>
      </c>
      <c r="J228" t="inlineStr">
        <is>
          <t>Rejected</t>
        </is>
      </c>
      <c r="K228">
        <f>H228-G228</f>
        <v/>
      </c>
      <c r="L228" t="n">
        <v/>
      </c>
      <c r="M228" t="n">
        <v>0</v>
      </c>
      <c r="N228" t="n">
        <v>0</v>
      </c>
    </row>
    <row r="229">
      <c r="A229" t="inlineStr">
        <is>
          <t>CAND1228</t>
        </is>
      </c>
      <c r="B229" t="inlineStr">
        <is>
          <t>Job Portal</t>
        </is>
      </c>
      <c r="C229" t="inlineStr">
        <is>
          <t>Finance</t>
        </is>
      </c>
      <c r="D229" t="inlineStr">
        <is>
          <t>Finance Manager</t>
        </is>
      </c>
      <c r="E229" s="2" t="n">
        <v>45669</v>
      </c>
      <c r="F229" t="inlineStr">
        <is>
          <t>Rejected</t>
        </is>
      </c>
      <c r="G229" s="2" t="n">
        <v>45676</v>
      </c>
      <c r="H229" s="2" t="n">
        <v>45677</v>
      </c>
      <c r="I229" s="3" t="n">
        <v>11441</v>
      </c>
      <c r="J229" t="inlineStr">
        <is>
          <t>Rejected</t>
        </is>
      </c>
      <c r="K229">
        <f>H229-G229</f>
        <v/>
      </c>
      <c r="L229" t="n">
        <v/>
      </c>
      <c r="M229" t="n">
        <v>0</v>
      </c>
      <c r="N229" t="n">
        <v>0</v>
      </c>
    </row>
    <row r="230">
      <c r="A230" t="inlineStr">
        <is>
          <t>CAND1229</t>
        </is>
      </c>
      <c r="B230" t="inlineStr">
        <is>
          <t>Job Portal</t>
        </is>
      </c>
      <c r="C230" t="inlineStr">
        <is>
          <t>Finance</t>
        </is>
      </c>
      <c r="D230" t="inlineStr">
        <is>
          <t>Finance Manager</t>
        </is>
      </c>
      <c r="E230" s="2" t="n">
        <v>45779</v>
      </c>
      <c r="F230" t="inlineStr">
        <is>
          <t>Rejected</t>
        </is>
      </c>
      <c r="G230" s="2" t="n">
        <v>45784</v>
      </c>
      <c r="H230" s="2" t="n">
        <v>45786</v>
      </c>
      <c r="I230" s="3" t="n">
        <v>15605</v>
      </c>
      <c r="J230" t="inlineStr">
        <is>
          <t>Rejected</t>
        </is>
      </c>
      <c r="K230">
        <f>H230-G230</f>
        <v/>
      </c>
      <c r="L230" t="n">
        <v/>
      </c>
      <c r="M230" t="n">
        <v>0</v>
      </c>
      <c r="N230" t="n">
        <v>0</v>
      </c>
    </row>
    <row r="231">
      <c r="A231" t="inlineStr">
        <is>
          <t>CAND1230</t>
        </is>
      </c>
      <c r="B231" t="inlineStr">
        <is>
          <t>Campus</t>
        </is>
      </c>
      <c r="C231" t="inlineStr">
        <is>
          <t>HR</t>
        </is>
      </c>
      <c r="D231" t="inlineStr">
        <is>
          <t>HR Manager</t>
        </is>
      </c>
      <c r="E231" s="2" t="n">
        <v>45969</v>
      </c>
      <c r="F231" t="inlineStr">
        <is>
          <t>Rejected</t>
        </is>
      </c>
      <c r="G231" s="2" t="n">
        <v>45975</v>
      </c>
      <c r="H231" s="2" t="n">
        <v>45977</v>
      </c>
      <c r="I231" s="3" t="n">
        <v>22825</v>
      </c>
      <c r="J231" t="inlineStr">
        <is>
          <t>Rejected</t>
        </is>
      </c>
      <c r="K231">
        <f>H231-G231</f>
        <v/>
      </c>
      <c r="L231" t="n">
        <v/>
      </c>
      <c r="M231" t="n">
        <v>0</v>
      </c>
      <c r="N231" t="n">
        <v>0</v>
      </c>
    </row>
    <row r="232">
      <c r="A232" t="inlineStr">
        <is>
          <t>CAND1231</t>
        </is>
      </c>
      <c r="B232" t="inlineStr">
        <is>
          <t>Referral</t>
        </is>
      </c>
      <c r="C232" t="inlineStr">
        <is>
          <t>HR</t>
        </is>
      </c>
      <c r="D232" t="inlineStr">
        <is>
          <t>HR Executive</t>
        </is>
      </c>
      <c r="E232" s="2" t="n">
        <v>45860</v>
      </c>
      <c r="F232" t="inlineStr">
        <is>
          <t>Rejected</t>
        </is>
      </c>
      <c r="G232" s="2" t="n">
        <v>45871</v>
      </c>
      <c r="H232" s="2" t="n">
        <v>45877</v>
      </c>
      <c r="I232" s="3" t="n">
        <v>7530</v>
      </c>
      <c r="J232" t="inlineStr">
        <is>
          <t>Rejected</t>
        </is>
      </c>
      <c r="K232">
        <f>H232-G232</f>
        <v/>
      </c>
      <c r="L232" t="n">
        <v/>
      </c>
      <c r="M232" t="n">
        <v>0</v>
      </c>
      <c r="N232" t="n">
        <v>0</v>
      </c>
    </row>
    <row r="233">
      <c r="A233" t="inlineStr">
        <is>
          <t>CAND1232</t>
        </is>
      </c>
      <c r="B233" t="inlineStr">
        <is>
          <t>Referral</t>
        </is>
      </c>
      <c r="C233" t="inlineStr">
        <is>
          <t>HR</t>
        </is>
      </c>
      <c r="D233" t="inlineStr">
        <is>
          <t>HR Executive</t>
        </is>
      </c>
      <c r="E233" s="2" t="n">
        <v>45875</v>
      </c>
      <c r="F233" t="inlineStr">
        <is>
          <t>Hired</t>
        </is>
      </c>
      <c r="G233" s="2" t="n">
        <v>45879</v>
      </c>
      <c r="H233" s="2" t="n">
        <v>45884</v>
      </c>
      <c r="I233" s="3" t="n">
        <v>29276</v>
      </c>
      <c r="J233" t="inlineStr">
        <is>
          <t>Hired</t>
        </is>
      </c>
      <c r="K233">
        <f>H233-G233</f>
        <v/>
      </c>
      <c r="L233" t="n">
        <v>9</v>
      </c>
      <c r="M233" t="n">
        <v>1</v>
      </c>
      <c r="N233" t="n">
        <v>1</v>
      </c>
    </row>
    <row r="234">
      <c r="A234" t="inlineStr">
        <is>
          <t>CAND1233</t>
        </is>
      </c>
      <c r="B234" t="inlineStr">
        <is>
          <t>Job Portal</t>
        </is>
      </c>
      <c r="C234" t="inlineStr">
        <is>
          <t>Sales</t>
        </is>
      </c>
      <c r="D234" t="inlineStr">
        <is>
          <t>Sales Executive</t>
        </is>
      </c>
      <c r="E234" s="2" t="n">
        <v>45876</v>
      </c>
      <c r="F234" t="inlineStr">
        <is>
          <t>Screened</t>
        </is>
      </c>
      <c r="G234" s="2" t="n">
        <v>45886</v>
      </c>
      <c r="H234" s="2" t="n">
        <v>45887</v>
      </c>
      <c r="I234" s="3" t="n">
        <v>23059</v>
      </c>
      <c r="J234" t="inlineStr">
        <is>
          <t>Rejected</t>
        </is>
      </c>
      <c r="K234">
        <f>H234-G234</f>
        <v/>
      </c>
      <c r="L234" t="n">
        <v/>
      </c>
      <c r="M234" t="n">
        <v>0</v>
      </c>
      <c r="N234" t="n">
        <v>0</v>
      </c>
    </row>
    <row r="235">
      <c r="A235" t="inlineStr">
        <is>
          <t>CAND1234</t>
        </is>
      </c>
      <c r="B235" t="inlineStr">
        <is>
          <t>LinkedIn</t>
        </is>
      </c>
      <c r="C235" t="inlineStr">
        <is>
          <t>Operations</t>
        </is>
      </c>
      <c r="D235" t="inlineStr">
        <is>
          <t>Operations Analyst</t>
        </is>
      </c>
      <c r="E235" s="2" t="n">
        <v>45902</v>
      </c>
      <c r="F235" t="inlineStr">
        <is>
          <t>Hired</t>
        </is>
      </c>
      <c r="G235" s="2" t="n">
        <v>45908</v>
      </c>
      <c r="H235" s="2" t="n">
        <v>45912</v>
      </c>
      <c r="I235" s="3" t="n">
        <v>34980</v>
      </c>
      <c r="J235" t="inlineStr">
        <is>
          <t>Hired</t>
        </is>
      </c>
      <c r="K235">
        <f>H235-G235</f>
        <v/>
      </c>
      <c r="L235" t="n">
        <v>10</v>
      </c>
      <c r="M235" t="n">
        <v>1</v>
      </c>
      <c r="N235" t="n">
        <v>1</v>
      </c>
    </row>
    <row r="236">
      <c r="A236" t="inlineStr">
        <is>
          <t>CAND1235</t>
        </is>
      </c>
      <c r="B236" t="inlineStr">
        <is>
          <t>Job Portal</t>
        </is>
      </c>
      <c r="C236" t="inlineStr">
        <is>
          <t>HR</t>
        </is>
      </c>
      <c r="D236" t="inlineStr">
        <is>
          <t>HR Manager</t>
        </is>
      </c>
      <c r="E236" s="2" t="n">
        <v>45849</v>
      </c>
      <c r="F236" t="inlineStr">
        <is>
          <t>Screened</t>
        </is>
      </c>
      <c r="G236" s="2" t="n">
        <v>45853</v>
      </c>
      <c r="H236" s="2" t="n">
        <v>45859</v>
      </c>
      <c r="I236" s="3" t="n">
        <v>12270</v>
      </c>
      <c r="J236" t="inlineStr">
        <is>
          <t>Rejected</t>
        </is>
      </c>
      <c r="K236">
        <f>H236-G236</f>
        <v/>
      </c>
      <c r="L236" t="n">
        <v/>
      </c>
      <c r="M236" t="n">
        <v>0</v>
      </c>
      <c r="N236" t="n">
        <v>0</v>
      </c>
    </row>
    <row r="237">
      <c r="A237" t="inlineStr">
        <is>
          <t>CAND1236</t>
        </is>
      </c>
      <c r="B237" t="inlineStr">
        <is>
          <t>LinkedIn</t>
        </is>
      </c>
      <c r="C237" t="inlineStr">
        <is>
          <t>Marketing</t>
        </is>
      </c>
      <c r="D237" t="inlineStr">
        <is>
          <t>Marketing Executive</t>
        </is>
      </c>
      <c r="E237" s="2" t="n">
        <v>45773</v>
      </c>
      <c r="F237" t="inlineStr">
        <is>
          <t>Offered</t>
        </is>
      </c>
      <c r="G237" s="2" t="n">
        <v>45775</v>
      </c>
      <c r="H237" s="2" t="n">
        <v>45780</v>
      </c>
      <c r="I237" s="3" t="n">
        <v>19934</v>
      </c>
      <c r="J237" t="inlineStr">
        <is>
          <t>Rejected</t>
        </is>
      </c>
      <c r="K237">
        <f>H237-G237</f>
        <v/>
      </c>
      <c r="L237" t="n">
        <v/>
      </c>
      <c r="M237" t="n">
        <v>0</v>
      </c>
      <c r="N237" t="n">
        <v>1</v>
      </c>
    </row>
    <row r="238">
      <c r="A238" t="inlineStr">
        <is>
          <t>CAND1237</t>
        </is>
      </c>
      <c r="B238" t="inlineStr">
        <is>
          <t>Campus</t>
        </is>
      </c>
      <c r="C238" t="inlineStr">
        <is>
          <t>Finance</t>
        </is>
      </c>
      <c r="D238" t="inlineStr">
        <is>
          <t>Finance Executive</t>
        </is>
      </c>
      <c r="E238" s="2" t="n">
        <v>45992</v>
      </c>
      <c r="F238" t="inlineStr">
        <is>
          <t>Interviewed</t>
        </is>
      </c>
      <c r="G238" s="2" t="n">
        <v>46002</v>
      </c>
      <c r="H238" s="2" t="n">
        <v>46006</v>
      </c>
      <c r="I238" s="3" t="n">
        <v>10349</v>
      </c>
      <c r="J238" t="inlineStr">
        <is>
          <t>Rejected</t>
        </is>
      </c>
      <c r="K238">
        <f>H238-G238</f>
        <v/>
      </c>
      <c r="L238" t="n">
        <v/>
      </c>
      <c r="M238" t="n">
        <v>0</v>
      </c>
      <c r="N238" t="n">
        <v>0</v>
      </c>
    </row>
    <row r="239">
      <c r="A239" t="inlineStr">
        <is>
          <t>CAND1238</t>
        </is>
      </c>
      <c r="B239" t="inlineStr">
        <is>
          <t>Job Portal</t>
        </is>
      </c>
      <c r="C239" t="inlineStr">
        <is>
          <t>IT</t>
        </is>
      </c>
      <c r="D239" t="inlineStr">
        <is>
          <t>IT Analyst</t>
        </is>
      </c>
      <c r="E239" s="2" t="n">
        <v>45878</v>
      </c>
      <c r="F239" t="inlineStr">
        <is>
          <t>Rejected</t>
        </is>
      </c>
      <c r="G239" s="2" t="n">
        <v>45889</v>
      </c>
      <c r="H239" s="2" t="n">
        <v>45891</v>
      </c>
      <c r="I239" s="3" t="n">
        <v>15160</v>
      </c>
      <c r="J239" t="inlineStr">
        <is>
          <t>Rejected</t>
        </is>
      </c>
      <c r="K239">
        <f>H239-G239</f>
        <v/>
      </c>
      <c r="L239" t="n">
        <v/>
      </c>
      <c r="M239" t="n">
        <v>0</v>
      </c>
      <c r="N239" t="n">
        <v>0</v>
      </c>
    </row>
    <row r="240">
      <c r="A240" t="inlineStr">
        <is>
          <t>CAND1239</t>
        </is>
      </c>
      <c r="B240" t="inlineStr">
        <is>
          <t>Job Portal</t>
        </is>
      </c>
      <c r="C240" t="inlineStr">
        <is>
          <t>Finance</t>
        </is>
      </c>
      <c r="D240" t="inlineStr">
        <is>
          <t>Finance Analyst</t>
        </is>
      </c>
      <c r="E240" s="2" t="n">
        <v>45673</v>
      </c>
      <c r="F240" t="inlineStr">
        <is>
          <t>Offered</t>
        </is>
      </c>
      <c r="G240" s="2" t="n">
        <v>45678</v>
      </c>
      <c r="H240" s="2" t="n">
        <v>45682</v>
      </c>
      <c r="I240" s="3" t="n">
        <v>18319</v>
      </c>
      <c r="J240" t="inlineStr">
        <is>
          <t>Rejected</t>
        </is>
      </c>
      <c r="K240">
        <f>H240-G240</f>
        <v/>
      </c>
      <c r="L240" t="n">
        <v/>
      </c>
      <c r="M240" t="n">
        <v>0</v>
      </c>
      <c r="N240" t="n">
        <v>1</v>
      </c>
    </row>
    <row r="241">
      <c r="A241" t="inlineStr">
        <is>
          <t>CAND1240</t>
        </is>
      </c>
      <c r="B241" t="inlineStr">
        <is>
          <t>Referral</t>
        </is>
      </c>
      <c r="C241" t="inlineStr">
        <is>
          <t>Sales</t>
        </is>
      </c>
      <c r="D241" t="inlineStr">
        <is>
          <t>Sales Manager</t>
        </is>
      </c>
      <c r="E241" s="2" t="n">
        <v>45782</v>
      </c>
      <c r="F241" t="inlineStr">
        <is>
          <t>Screened</t>
        </is>
      </c>
      <c r="G241" s="2" t="n">
        <v>45784</v>
      </c>
      <c r="H241" s="2" t="n">
        <v>45790</v>
      </c>
      <c r="I241" s="3" t="n">
        <v>13561</v>
      </c>
      <c r="J241" t="inlineStr">
        <is>
          <t>Rejected</t>
        </is>
      </c>
      <c r="K241">
        <f>H241-G241</f>
        <v/>
      </c>
      <c r="L241" t="n">
        <v/>
      </c>
      <c r="M241" t="n">
        <v>0</v>
      </c>
      <c r="N2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</cols>
  <sheetData>
    <row r="1">
      <c r="A1" s="4" t="inlineStr">
        <is>
          <t>KPI</t>
        </is>
      </c>
      <c r="B1" s="4" t="inlineStr">
        <is>
          <t>Value</t>
        </is>
      </c>
      <c r="C1" s="4" t="inlineStr">
        <is>
          <t>Definition</t>
        </is>
      </c>
    </row>
    <row r="2">
      <c r="A2" t="inlineStr">
        <is>
          <t>Total Candidates</t>
        </is>
      </c>
      <c r="B2">
        <f>COUNTA(Recruitment_Data!A2:A241)</f>
        <v/>
      </c>
      <c r="C2" t="inlineStr">
        <is>
          <t>Candidates in dataset</t>
        </is>
      </c>
    </row>
    <row r="3">
      <c r="A3" t="inlineStr">
        <is>
          <t>Hires</t>
        </is>
      </c>
      <c r="B3">
        <f>COUNTIF(Recruitment_Data!J2:J241,"Hired")</f>
        <v/>
      </c>
      <c r="C3" t="inlineStr">
        <is>
          <t>Candidates hired</t>
        </is>
      </c>
    </row>
    <row r="4">
      <c r="A4" t="inlineStr">
        <is>
          <t>Application-to-Hire Ratio</t>
        </is>
      </c>
      <c r="B4" s="5">
        <f>IFERROR(B3/B2,0)</f>
        <v/>
      </c>
      <c r="C4" t="inlineStr">
        <is>
          <t>Hired ÷ Applied</t>
        </is>
      </c>
    </row>
    <row r="5">
      <c r="A5" t="inlineStr">
        <is>
          <t>Average Time-to-Hire</t>
        </is>
      </c>
      <c r="B5" s="6">
        <f>IFERROR(AVERAGEIF(Recruitment_Data!J2:J241,"Hired",Recruitment_Data!L2:L241),0)</f>
        <v/>
      </c>
      <c r="C5" t="inlineStr">
        <is>
          <t>Days from application to hire</t>
        </is>
      </c>
    </row>
    <row r="6">
      <c r="A6" t="inlineStr">
        <is>
          <t>Total Hiring Cost</t>
        </is>
      </c>
      <c r="B6" s="3">
        <f>SUM(Recruitment_Data!I2:I241)</f>
        <v/>
      </c>
      <c r="C6" t="inlineStr">
        <is>
          <t>Total recruitment cost</t>
        </is>
      </c>
    </row>
    <row r="7">
      <c r="A7" t="inlineStr">
        <is>
          <t>Cost-per-Hire</t>
        </is>
      </c>
      <c r="B7" s="3">
        <f>IFERROR(B6/B3,0)</f>
        <v/>
      </c>
      <c r="C7" t="inlineStr">
        <is>
          <t>Total cost ÷ hires</t>
        </is>
      </c>
    </row>
    <row r="8">
      <c r="A8" t="inlineStr">
        <is>
          <t>Offer Acceptance Rate</t>
        </is>
      </c>
      <c r="B8" s="5">
        <f>IFERROR(COUNTIF(Recruitment_Data!J2:J241,"Hired")/COUNTIF(Recruitment_Data!F2:F241,"Offered"),0)</f>
        <v/>
      </c>
      <c r="C8" t="inlineStr">
        <is>
          <t>Hired ÷ offers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Stage</t>
        </is>
      </c>
      <c r="B1" s="4" t="inlineStr">
        <is>
          <t>Candidates</t>
        </is>
      </c>
      <c r="C1" s="4" t="inlineStr">
        <is>
          <t>Conversion %</t>
        </is>
      </c>
      <c r="D1" s="4" t="inlineStr">
        <is>
          <t>Drop-Off %</t>
        </is>
      </c>
    </row>
    <row r="2">
      <c r="A2" t="inlineStr">
        <is>
          <t>Applied</t>
        </is>
      </c>
      <c r="B2" t="n">
        <v>240</v>
      </c>
      <c r="C2" s="5" t="n">
        <v>1</v>
      </c>
      <c r="D2" s="5" t="n">
        <v>0</v>
      </c>
    </row>
    <row r="3">
      <c r="A3" t="inlineStr">
        <is>
          <t>Screened</t>
        </is>
      </c>
      <c r="B3" t="n">
        <v>187</v>
      </c>
      <c r="C3" s="5" t="n">
        <v>0.7791666666666667</v>
      </c>
      <c r="D3" s="5" t="n">
        <v>0.2208333333333333</v>
      </c>
    </row>
    <row r="4">
      <c r="A4" t="inlineStr">
        <is>
          <t>Interviewed</t>
        </is>
      </c>
      <c r="B4" t="n">
        <v>114</v>
      </c>
      <c r="C4" s="5" t="n">
        <v>0.6096256684491979</v>
      </c>
      <c r="D4" s="5" t="n">
        <v>0.3903743315508021</v>
      </c>
    </row>
    <row r="5">
      <c r="A5" t="inlineStr">
        <is>
          <t>Offered</t>
        </is>
      </c>
      <c r="B5" t="n">
        <v>54</v>
      </c>
      <c r="C5" s="5" t="n">
        <v>0.4736842105263158</v>
      </c>
      <c r="D5" s="5" t="n">
        <v>0.5263157894736842</v>
      </c>
    </row>
    <row r="6">
      <c r="A6" t="inlineStr">
        <is>
          <t>Hired</t>
        </is>
      </c>
      <c r="B6" t="n">
        <v>47</v>
      </c>
      <c r="C6" s="5" t="n">
        <v>0.8703703703703703</v>
      </c>
      <c r="D6" s="5" t="n">
        <v>0.1296296296296296</v>
      </c>
    </row>
    <row r="7">
      <c r="A7" t="inlineStr">
        <is>
          <t>Rejected</t>
        </is>
      </c>
      <c r="B7" t="n">
        <v>193</v>
      </c>
      <c r="C7" s="5" t="n">
        <v>0.8041666666666667</v>
      </c>
      <c r="D7" s="5" t="n">
        <v>0.8041666666666667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</t>
        </is>
      </c>
      <c r="B1" s="4" t="inlineStr">
        <is>
          <t>Candidates</t>
        </is>
      </c>
      <c r="C1" s="4" t="inlineStr">
        <is>
          <t>Hires</t>
        </is>
      </c>
      <c r="D1" s="4" t="inlineStr">
        <is>
          <t>Conversion %</t>
        </is>
      </c>
      <c r="E1" s="4" t="inlineStr">
        <is>
          <t>Total Cost (₹)</t>
        </is>
      </c>
      <c r="F1" s="4" t="inlineStr">
        <is>
          <t>Cost per Hire (₹)</t>
        </is>
      </c>
      <c r="G1" s="4" t="inlineStr">
        <is>
          <t>Avg Time-to-Hire</t>
        </is>
      </c>
    </row>
    <row r="2">
      <c r="A2" t="inlineStr">
        <is>
          <t>Job Portal</t>
        </is>
      </c>
      <c r="B2">
        <f>COUNTIF(Recruitment_Data!B$2:B$241,A2)</f>
        <v/>
      </c>
      <c r="C2">
        <f>COUNTIFS(Recruitment_Data!B$2:B$241,A2,Recruitment_Data!J$2:J$241,"Hired")</f>
        <v/>
      </c>
      <c r="D2" s="5">
        <f>IFERROR(C2/B2,0)</f>
        <v/>
      </c>
      <c r="E2" s="3">
        <f>SUMIF(Recruitment_Data!B$2:B$241,A2,Recruitment_Data!I$2:I$241)</f>
        <v/>
      </c>
      <c r="F2" s="3">
        <f>IFERROR(E2/C2,0)</f>
        <v/>
      </c>
      <c r="G2">
        <f>IFERROR(AVERAGEIFS(Recruitment_Data!L$2:L$241,Recruitment_Data!B$2:B$241,A2,Recruitment_Data!J$2:J$241,"Hired"),0)</f>
        <v/>
      </c>
    </row>
    <row r="3">
      <c r="A3" t="inlineStr">
        <is>
          <t>Referral</t>
        </is>
      </c>
      <c r="B3">
        <f>COUNTIF(Recruitment_Data!B$2:B$241,A3)</f>
        <v/>
      </c>
      <c r="C3">
        <f>COUNTIFS(Recruitment_Data!B$2:B$241,A3,Recruitment_Data!J$2:J$241,"Hired")</f>
        <v/>
      </c>
      <c r="D3" s="5">
        <f>IFERROR(C3/B3,0)</f>
        <v/>
      </c>
      <c r="E3" s="3">
        <f>SUMIF(Recruitment_Data!B$2:B$241,A3,Recruitment_Data!I$2:I$241)</f>
        <v/>
      </c>
      <c r="F3" s="3">
        <f>IFERROR(E3/C3,0)</f>
        <v/>
      </c>
      <c r="G3">
        <f>IFERROR(AVERAGEIFS(Recruitment_Data!L$2:L$241,Recruitment_Data!B$2:B$241,A3,Recruitment_Data!J$2:J$241,"Hired"),0)</f>
        <v/>
      </c>
    </row>
    <row r="4">
      <c r="A4" t="inlineStr">
        <is>
          <t>LinkedIn</t>
        </is>
      </c>
      <c r="B4">
        <f>COUNTIF(Recruitment_Data!B$2:B$241,A4)</f>
        <v/>
      </c>
      <c r="C4">
        <f>COUNTIFS(Recruitment_Data!B$2:B$241,A4,Recruitment_Data!J$2:J$241,"Hired")</f>
        <v/>
      </c>
      <c r="D4" s="5">
        <f>IFERROR(C4/B4,0)</f>
        <v/>
      </c>
      <c r="E4" s="3">
        <f>SUMIF(Recruitment_Data!B$2:B$241,A4,Recruitment_Data!I$2:I$241)</f>
        <v/>
      </c>
      <c r="F4" s="3">
        <f>IFERROR(E4/C4,0)</f>
        <v/>
      </c>
      <c r="G4">
        <f>IFERROR(AVERAGEIFS(Recruitment_Data!L$2:L$241,Recruitment_Data!B$2:B$241,A4,Recruitment_Data!J$2:J$241,"Hired"),0)</f>
        <v/>
      </c>
    </row>
    <row r="5">
      <c r="A5" t="inlineStr">
        <is>
          <t>Campus</t>
        </is>
      </c>
      <c r="B5">
        <f>COUNTIF(Recruitment_Data!B$2:B$241,A5)</f>
        <v/>
      </c>
      <c r="C5">
        <f>COUNTIFS(Recruitment_Data!B$2:B$241,A5,Recruitment_Data!J$2:J$241,"Hired")</f>
        <v/>
      </c>
      <c r="D5" s="5">
        <f>IFERROR(C5/B5,0)</f>
        <v/>
      </c>
      <c r="E5" s="3">
        <f>SUMIF(Recruitment_Data!B$2:B$241,A5,Recruitment_Data!I$2:I$241)</f>
        <v/>
      </c>
      <c r="F5" s="3">
        <f>IFERROR(E5/C5,0)</f>
        <v/>
      </c>
      <c r="G5">
        <f>IFERROR(AVERAGEIFS(Recruitment_Data!L$2:L$241,Recruitment_Data!B$2:B$241,A5,Recruitment_Data!J$2:J$241,"Hired"),0)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Department</t>
        </is>
      </c>
      <c r="B1" s="4" t="inlineStr">
        <is>
          <t>Candidates</t>
        </is>
      </c>
      <c r="C1" s="4" t="inlineStr">
        <is>
          <t>Hires</t>
        </is>
      </c>
      <c r="D1" s="4" t="inlineStr">
        <is>
          <t>Conversion %</t>
        </is>
      </c>
      <c r="E1" s="4" t="inlineStr">
        <is>
          <t>Avg Time-to-Hire</t>
        </is>
      </c>
      <c r="F1" s="4" t="inlineStr">
        <is>
          <t>Total Cost (₹)</t>
        </is>
      </c>
      <c r="G1" s="4" t="inlineStr">
        <is>
          <t>Cost per Hire (₹)</t>
        </is>
      </c>
    </row>
    <row r="2">
      <c r="A2" t="inlineStr">
        <is>
          <t>IT</t>
        </is>
      </c>
      <c r="B2">
        <f>COUNTIF(Recruitment_Data!C$2:C$241,A2)</f>
        <v/>
      </c>
      <c r="C2">
        <f>COUNTIFS(Recruitment_Data!C$2:C$241,A2,Recruitment_Data!J$2:J$241,"Hired")</f>
        <v/>
      </c>
      <c r="D2" s="5">
        <f>IFERROR(C2/B2,0)</f>
        <v/>
      </c>
      <c r="E2">
        <f>IFERROR(AVERAGEIFS(Recruitment_Data!L$2:L$241,Recruitment_Data!C$2:C$241,A2,Recruitment_Data!J$2:J$241,"Hired"),0)</f>
        <v/>
      </c>
      <c r="F2" s="3">
        <f>SUMIF(Recruitment_Data!C$2:C$241,A2,Recruitment_Data!I$2:I$241)</f>
        <v/>
      </c>
      <c r="G2" s="3">
        <f>IFERROR(F2/C2,0)</f>
        <v/>
      </c>
    </row>
    <row r="3">
      <c r="A3" t="inlineStr">
        <is>
          <t>Finance</t>
        </is>
      </c>
      <c r="B3">
        <f>COUNTIF(Recruitment_Data!C$2:C$241,A3)</f>
        <v/>
      </c>
      <c r="C3">
        <f>COUNTIFS(Recruitment_Data!C$2:C$241,A3,Recruitment_Data!J$2:J$241,"Hired")</f>
        <v/>
      </c>
      <c r="D3" s="5">
        <f>IFERROR(C3/B3,0)</f>
        <v/>
      </c>
      <c r="E3">
        <f>IFERROR(AVERAGEIFS(Recruitment_Data!L$2:L$241,Recruitment_Data!C$2:C$241,A3,Recruitment_Data!J$2:J$241,"Hired"),0)</f>
        <v/>
      </c>
      <c r="F3" s="3">
        <f>SUMIF(Recruitment_Data!C$2:C$241,A3,Recruitment_Data!I$2:I$241)</f>
        <v/>
      </c>
      <c r="G3" s="3">
        <f>IFERROR(F3/C3,0)</f>
        <v/>
      </c>
    </row>
    <row r="4">
      <c r="A4" t="inlineStr">
        <is>
          <t>HR</t>
        </is>
      </c>
      <c r="B4">
        <f>COUNTIF(Recruitment_Data!C$2:C$241,A4)</f>
        <v/>
      </c>
      <c r="C4">
        <f>COUNTIFS(Recruitment_Data!C$2:C$241,A4,Recruitment_Data!J$2:J$241,"Hired")</f>
        <v/>
      </c>
      <c r="D4" s="5">
        <f>IFERROR(C4/B4,0)</f>
        <v/>
      </c>
      <c r="E4">
        <f>IFERROR(AVERAGEIFS(Recruitment_Data!L$2:L$241,Recruitment_Data!C$2:C$241,A4,Recruitment_Data!J$2:J$241,"Hired"),0)</f>
        <v/>
      </c>
      <c r="F4" s="3">
        <f>SUMIF(Recruitment_Data!C$2:C$241,A4,Recruitment_Data!I$2:I$241)</f>
        <v/>
      </c>
      <c r="G4" s="3">
        <f>IFERROR(F4/C4,0)</f>
        <v/>
      </c>
    </row>
    <row r="5">
      <c r="A5" t="inlineStr">
        <is>
          <t>Sales</t>
        </is>
      </c>
      <c r="B5">
        <f>COUNTIF(Recruitment_Data!C$2:C$241,A5)</f>
        <v/>
      </c>
      <c r="C5">
        <f>COUNTIFS(Recruitment_Data!C$2:C$241,A5,Recruitment_Data!J$2:J$241,"Hired")</f>
        <v/>
      </c>
      <c r="D5" s="5">
        <f>IFERROR(C5/B5,0)</f>
        <v/>
      </c>
      <c r="E5">
        <f>IFERROR(AVERAGEIFS(Recruitment_Data!L$2:L$241,Recruitment_Data!C$2:C$241,A5,Recruitment_Data!J$2:J$241,"Hired"),0)</f>
        <v/>
      </c>
      <c r="F5" s="3">
        <f>SUMIF(Recruitment_Data!C$2:C$241,A5,Recruitment_Data!I$2:I$241)</f>
        <v/>
      </c>
      <c r="G5" s="3">
        <f>IFERROR(F5/C5,0)</f>
        <v/>
      </c>
    </row>
    <row r="6">
      <c r="A6" t="inlineStr">
        <is>
          <t>Operations</t>
        </is>
      </c>
      <c r="B6">
        <f>COUNTIF(Recruitment_Data!C$2:C$241,A6)</f>
        <v/>
      </c>
      <c r="C6">
        <f>COUNTIFS(Recruitment_Data!C$2:C$241,A6,Recruitment_Data!J$2:J$241,"Hired")</f>
        <v/>
      </c>
      <c r="D6" s="5">
        <f>IFERROR(C6/B6,0)</f>
        <v/>
      </c>
      <c r="E6">
        <f>IFERROR(AVERAGEIFS(Recruitment_Data!L$2:L$241,Recruitment_Data!C$2:C$241,A6,Recruitment_Data!J$2:J$241,"Hired"),0)</f>
        <v/>
      </c>
      <c r="F6" s="3">
        <f>SUMIF(Recruitment_Data!C$2:C$241,A6,Recruitment_Data!I$2:I$241)</f>
        <v/>
      </c>
      <c r="G6" s="3">
        <f>IFERROR(F6/C6,0)</f>
        <v/>
      </c>
    </row>
    <row r="7">
      <c r="A7" t="inlineStr">
        <is>
          <t>Marketing</t>
        </is>
      </c>
      <c r="B7">
        <f>COUNTIF(Recruitment_Data!C$2:C$241,A7)</f>
        <v/>
      </c>
      <c r="C7">
        <f>COUNTIFS(Recruitment_Data!C$2:C$241,A7,Recruitment_Data!J$2:J$241,"Hired")</f>
        <v/>
      </c>
      <c r="D7" s="5">
        <f>IFERROR(C7/B7,0)</f>
        <v/>
      </c>
      <c r="E7">
        <f>IFERROR(AVERAGEIFS(Recruitment_Data!L$2:L$241,Recruitment_Data!C$2:C$241,A7,Recruitment_Data!J$2:J$241,"Hired"),0)</f>
        <v/>
      </c>
      <c r="F7" s="3">
        <f>SUMIF(Recruitment_Data!C$2:C$241,A7,Recruitment_Data!I$2:I$241)</f>
        <v/>
      </c>
      <c r="G7" s="3">
        <f>IFERROR(F7/C7,0)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Month</t>
        </is>
      </c>
      <c r="B1" s="4" t="inlineStr">
        <is>
          <t>Hires</t>
        </is>
      </c>
      <c r="C1" s="4" t="inlineStr">
        <is>
          <t>Avg Time-to-Hire</t>
        </is>
      </c>
      <c r="D1" s="4" t="inlineStr">
        <is>
          <t>Hiring Cost (₹)</t>
        </is>
      </c>
    </row>
    <row r="2">
      <c r="A2" s="7" t="n">
        <v>45658</v>
      </c>
      <c r="B2">
        <f>COUNTIFS(Recruitment_Data!E$2:E$241,"&gt;="&amp;A2,Recruitment_Data!E$2:E$241,"&lt;"&amp;EDATE(A2,1),Recruitment_Data!J$2:J$241,"Hired")</f>
        <v/>
      </c>
      <c r="C2">
        <f>IFERROR(AVERAGEIFS(Recruitment_Data!L$2:L$241,Recruitment_Data!E$2:E$241,"&gt;="&amp;A2,Recruitment_Data!E$2:E$241,"&lt;"&amp;EDATE(A2,1),Recruitment_Data!J$2:J$241,"Hired"),0)</f>
        <v/>
      </c>
      <c r="D2" s="3">
        <f>SUMIFS(Recruitment_Data!I$2:I$241,Recruitment_Data!E$2:E$241,"&gt;="&amp;A2,Recruitment_Data!E$2:E$241,"&lt;"&amp;EDATE(A2,1),Recruitment_Data!J$2:J$241,"Hired")</f>
        <v/>
      </c>
    </row>
    <row r="3">
      <c r="A3" s="7" t="n">
        <v>45689</v>
      </c>
      <c r="B3">
        <f>COUNTIFS(Recruitment_Data!E$2:E$241,"&gt;="&amp;A3,Recruitment_Data!E$2:E$241,"&lt;"&amp;EDATE(A3,1),Recruitment_Data!J$2:J$241,"Hired")</f>
        <v/>
      </c>
      <c r="C3">
        <f>IFERROR(AVERAGEIFS(Recruitment_Data!L$2:L$241,Recruitment_Data!E$2:E$241,"&gt;="&amp;A3,Recruitment_Data!E$2:E$241,"&lt;"&amp;EDATE(A3,1),Recruitment_Data!J$2:J$241,"Hired"),0)</f>
        <v/>
      </c>
      <c r="D3" s="3">
        <f>SUMIFS(Recruitment_Data!I$2:I$241,Recruitment_Data!E$2:E$241,"&gt;="&amp;A3,Recruitment_Data!E$2:E$241,"&lt;"&amp;EDATE(A3,1),Recruitment_Data!J$2:J$241,"Hired")</f>
        <v/>
      </c>
    </row>
    <row r="4">
      <c r="A4" s="7" t="n">
        <v>45717</v>
      </c>
      <c r="B4">
        <f>COUNTIFS(Recruitment_Data!E$2:E$241,"&gt;="&amp;A4,Recruitment_Data!E$2:E$241,"&lt;"&amp;EDATE(A4,1),Recruitment_Data!J$2:J$241,"Hired")</f>
        <v/>
      </c>
      <c r="C4">
        <f>IFERROR(AVERAGEIFS(Recruitment_Data!L$2:L$241,Recruitment_Data!E$2:E$241,"&gt;="&amp;A4,Recruitment_Data!E$2:E$241,"&lt;"&amp;EDATE(A4,1),Recruitment_Data!J$2:J$241,"Hired"),0)</f>
        <v/>
      </c>
      <c r="D4" s="3">
        <f>SUMIFS(Recruitment_Data!I$2:I$241,Recruitment_Data!E$2:E$241,"&gt;="&amp;A4,Recruitment_Data!E$2:E$241,"&lt;"&amp;EDATE(A4,1),Recruitment_Data!J$2:J$241,"Hired")</f>
        <v/>
      </c>
    </row>
    <row r="5">
      <c r="A5" s="7" t="n">
        <v>45748</v>
      </c>
      <c r="B5">
        <f>COUNTIFS(Recruitment_Data!E$2:E$241,"&gt;="&amp;A5,Recruitment_Data!E$2:E$241,"&lt;"&amp;EDATE(A5,1),Recruitment_Data!J$2:J$241,"Hired")</f>
        <v/>
      </c>
      <c r="C5">
        <f>IFERROR(AVERAGEIFS(Recruitment_Data!L$2:L$241,Recruitment_Data!E$2:E$241,"&gt;="&amp;A5,Recruitment_Data!E$2:E$241,"&lt;"&amp;EDATE(A5,1),Recruitment_Data!J$2:J$241,"Hired"),0)</f>
        <v/>
      </c>
      <c r="D5" s="3">
        <f>SUMIFS(Recruitment_Data!I$2:I$241,Recruitment_Data!E$2:E$241,"&gt;="&amp;A5,Recruitment_Data!E$2:E$241,"&lt;"&amp;EDATE(A5,1),Recruitment_Data!J$2:J$241,"Hired")</f>
        <v/>
      </c>
    </row>
    <row r="6">
      <c r="A6" s="7" t="n">
        <v>45778</v>
      </c>
      <c r="B6">
        <f>COUNTIFS(Recruitment_Data!E$2:E$241,"&gt;="&amp;A6,Recruitment_Data!E$2:E$241,"&lt;"&amp;EDATE(A6,1),Recruitment_Data!J$2:J$241,"Hired")</f>
        <v/>
      </c>
      <c r="C6">
        <f>IFERROR(AVERAGEIFS(Recruitment_Data!L$2:L$241,Recruitment_Data!E$2:E$241,"&gt;="&amp;A6,Recruitment_Data!E$2:E$241,"&lt;"&amp;EDATE(A6,1),Recruitment_Data!J$2:J$241,"Hired"),0)</f>
        <v/>
      </c>
      <c r="D6" s="3">
        <f>SUMIFS(Recruitment_Data!I$2:I$241,Recruitment_Data!E$2:E$241,"&gt;="&amp;A6,Recruitment_Data!E$2:E$241,"&lt;"&amp;EDATE(A6,1),Recruitment_Data!J$2:J$241,"Hired")</f>
        <v/>
      </c>
    </row>
    <row r="7">
      <c r="A7" s="7" t="n">
        <v>45809</v>
      </c>
      <c r="B7">
        <f>COUNTIFS(Recruitment_Data!E$2:E$241,"&gt;="&amp;A7,Recruitment_Data!E$2:E$241,"&lt;"&amp;EDATE(A7,1),Recruitment_Data!J$2:J$241,"Hired")</f>
        <v/>
      </c>
      <c r="C7">
        <f>IFERROR(AVERAGEIFS(Recruitment_Data!L$2:L$241,Recruitment_Data!E$2:E$241,"&gt;="&amp;A7,Recruitment_Data!E$2:E$241,"&lt;"&amp;EDATE(A7,1),Recruitment_Data!J$2:J$241,"Hired"),0)</f>
        <v/>
      </c>
      <c r="D7" s="3">
        <f>SUMIFS(Recruitment_Data!I$2:I$241,Recruitment_Data!E$2:E$241,"&gt;="&amp;A7,Recruitment_Data!E$2:E$241,"&lt;"&amp;EDATE(A7,1),Recruitment_Data!J$2:J$241,"Hired")</f>
        <v/>
      </c>
    </row>
    <row r="8">
      <c r="A8" s="7" t="n">
        <v>45839</v>
      </c>
      <c r="B8">
        <f>COUNTIFS(Recruitment_Data!E$2:E$241,"&gt;="&amp;A8,Recruitment_Data!E$2:E$241,"&lt;"&amp;EDATE(A8,1),Recruitment_Data!J$2:J$241,"Hired")</f>
        <v/>
      </c>
      <c r="C8">
        <f>IFERROR(AVERAGEIFS(Recruitment_Data!L$2:L$241,Recruitment_Data!E$2:E$241,"&gt;="&amp;A8,Recruitment_Data!E$2:E$241,"&lt;"&amp;EDATE(A8,1),Recruitment_Data!J$2:J$241,"Hired"),0)</f>
        <v/>
      </c>
      <c r="D8" s="3">
        <f>SUMIFS(Recruitment_Data!I$2:I$241,Recruitment_Data!E$2:E$241,"&gt;="&amp;A8,Recruitment_Data!E$2:E$241,"&lt;"&amp;EDATE(A8,1),Recruitment_Data!J$2:J$241,"Hired")</f>
        <v/>
      </c>
    </row>
    <row r="9">
      <c r="A9" s="7" t="n">
        <v>45870</v>
      </c>
      <c r="B9">
        <f>COUNTIFS(Recruitment_Data!E$2:E$241,"&gt;="&amp;A9,Recruitment_Data!E$2:E$241,"&lt;"&amp;EDATE(A9,1),Recruitment_Data!J$2:J$241,"Hired")</f>
        <v/>
      </c>
      <c r="C9">
        <f>IFERROR(AVERAGEIFS(Recruitment_Data!L$2:L$241,Recruitment_Data!E$2:E$241,"&gt;="&amp;A9,Recruitment_Data!E$2:E$241,"&lt;"&amp;EDATE(A9,1),Recruitment_Data!J$2:J$241,"Hired"),0)</f>
        <v/>
      </c>
      <c r="D9" s="3">
        <f>SUMIFS(Recruitment_Data!I$2:I$241,Recruitment_Data!E$2:E$241,"&gt;="&amp;A9,Recruitment_Data!E$2:E$241,"&lt;"&amp;EDATE(A9,1),Recruitment_Data!J$2:J$241,"Hired")</f>
        <v/>
      </c>
    </row>
    <row r="10">
      <c r="A10" s="7" t="n">
        <v>45901</v>
      </c>
      <c r="B10">
        <f>COUNTIFS(Recruitment_Data!E$2:E$241,"&gt;="&amp;A10,Recruitment_Data!E$2:E$241,"&lt;"&amp;EDATE(A10,1),Recruitment_Data!J$2:J$241,"Hired")</f>
        <v/>
      </c>
      <c r="C10">
        <f>IFERROR(AVERAGEIFS(Recruitment_Data!L$2:L$241,Recruitment_Data!E$2:E$241,"&gt;="&amp;A10,Recruitment_Data!E$2:E$241,"&lt;"&amp;EDATE(A10,1),Recruitment_Data!J$2:J$241,"Hired"),0)</f>
        <v/>
      </c>
      <c r="D10" s="3">
        <f>SUMIFS(Recruitment_Data!I$2:I$241,Recruitment_Data!E$2:E$241,"&gt;="&amp;A10,Recruitment_Data!E$2:E$241,"&lt;"&amp;EDATE(A10,1),Recruitment_Data!J$2:J$241,"Hired")</f>
        <v/>
      </c>
    </row>
    <row r="11">
      <c r="A11" s="7" t="n">
        <v>45931</v>
      </c>
      <c r="B11">
        <f>COUNTIFS(Recruitment_Data!E$2:E$241,"&gt;="&amp;A11,Recruitment_Data!E$2:E$241,"&lt;"&amp;EDATE(A11,1),Recruitment_Data!J$2:J$241,"Hired")</f>
        <v/>
      </c>
      <c r="C11">
        <f>IFERROR(AVERAGEIFS(Recruitment_Data!L$2:L$241,Recruitment_Data!E$2:E$241,"&gt;="&amp;A11,Recruitment_Data!E$2:E$241,"&lt;"&amp;EDATE(A11,1),Recruitment_Data!J$2:J$241,"Hired"),0)</f>
        <v/>
      </c>
      <c r="D11" s="3">
        <f>SUMIFS(Recruitment_Data!I$2:I$241,Recruitment_Data!E$2:E$241,"&gt;="&amp;A11,Recruitment_Data!E$2:E$241,"&lt;"&amp;EDATE(A11,1),Recruitment_Data!J$2:J$241,"Hired")</f>
        <v/>
      </c>
    </row>
    <row r="12">
      <c r="A12" s="7" t="n">
        <v>45962</v>
      </c>
      <c r="B12">
        <f>COUNTIFS(Recruitment_Data!E$2:E$241,"&gt;="&amp;A12,Recruitment_Data!E$2:E$241,"&lt;"&amp;EDATE(A12,1),Recruitment_Data!J$2:J$241,"Hired")</f>
        <v/>
      </c>
      <c r="C12">
        <f>IFERROR(AVERAGEIFS(Recruitment_Data!L$2:L$241,Recruitment_Data!E$2:E$241,"&gt;="&amp;A12,Recruitment_Data!E$2:E$241,"&lt;"&amp;EDATE(A12,1),Recruitment_Data!J$2:J$241,"Hired"),0)</f>
        <v/>
      </c>
      <c r="D12" s="3">
        <f>SUMIFS(Recruitment_Data!I$2:I$241,Recruitment_Data!E$2:E$241,"&gt;="&amp;A12,Recruitment_Data!E$2:E$241,"&lt;"&amp;EDATE(A12,1),Recruitment_Data!J$2:J$241,"Hired")</f>
        <v/>
      </c>
    </row>
    <row r="13">
      <c r="A13" s="7" t="n">
        <v>45992</v>
      </c>
      <c r="B13">
        <f>COUNTIFS(Recruitment_Data!E$2:E$241,"&gt;="&amp;A13,Recruitment_Data!E$2:E$241,"&lt;"&amp;EDATE(A13,1),Recruitment_Data!J$2:J$241,"Hired")</f>
        <v/>
      </c>
      <c r="C13">
        <f>IFERROR(AVERAGEIFS(Recruitment_Data!L$2:L$241,Recruitment_Data!E$2:E$241,"&gt;="&amp;A13,Recruitment_Data!E$2:E$241,"&lt;"&amp;EDATE(A13,1),Recruitment_Data!J$2:J$241,"Hired"),0)</f>
        <v/>
      </c>
      <c r="D13" s="3">
        <f>SUMIFS(Recruitment_Data!I$2:I$241,Recruitment_Data!E$2:E$241,"&gt;="&amp;A13,Recruitment_Data!E$2:E$241,"&lt;"&amp;EDATE(A13,1),Recruitment_Data!J$2:J$241,"Hired")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Rank</t>
        </is>
      </c>
      <c r="B1" s="8" t="inlineStr">
        <is>
          <t>Candidate ID</t>
        </is>
      </c>
      <c r="C1" s="8" t="inlineStr">
        <is>
          <t>Source</t>
        </is>
      </c>
      <c r="D1" s="8" t="inlineStr">
        <is>
          <t>Department</t>
        </is>
      </c>
      <c r="E1" s="8" t="inlineStr">
        <is>
          <t>Role</t>
        </is>
      </c>
      <c r="F1" s="8" t="inlineStr">
        <is>
          <t>Time-to-Hire</t>
        </is>
      </c>
      <c r="G1" s="8" t="inlineStr">
        <is>
          <t>Hiring Cost (₹)</t>
        </is>
      </c>
      <c r="H1" s="8" t="inlineStr">
        <is>
          <t>Status</t>
        </is>
      </c>
    </row>
    <row r="2">
      <c r="A2" t="n">
        <v>1</v>
      </c>
      <c r="B2">
        <f>INDEX(Recruitment_Data!$A$2:$A$241,MATCH(F2,Recruitment_Data!$L$2:$L$241,0))</f>
        <v/>
      </c>
      <c r="C2">
        <f>INDEX(Recruitment_Data!$B$2:$B$241,MATCH(F2,Recruitment_Data!$L$2:$L$241,0))</f>
        <v/>
      </c>
      <c r="D2">
        <f>INDEX(Recruitment_Data!$C$2:$C$241,MATCH(F2,Recruitment_Data!$L$2:$L$241,0))</f>
        <v/>
      </c>
      <c r="E2">
        <f>INDEX(Recruitment_Data!$D$2:$D$241,MATCH(F2,Recruitment_Data!$L$2:$L$241,0))</f>
        <v/>
      </c>
      <c r="F2">
        <f>LARGE(Recruitment_Data!$L$2:$L$241,A2)</f>
        <v/>
      </c>
      <c r="G2" s="3">
        <f>INDEX(Recruitment_Data!$I$2:$I$241,MATCH(F2,Recruitment_Data!$L$2:$L$241,0))</f>
        <v/>
      </c>
      <c r="H2">
        <f>INDEX(Recruitment_Data!$J$2:$J$241,MATCH(F2,Recruitment_Data!$L$2:$L$241,0))</f>
        <v/>
      </c>
    </row>
    <row r="3">
      <c r="A3" t="n">
        <v>2</v>
      </c>
      <c r="B3">
        <f>INDEX(Recruitment_Data!$A$2:$A$241,MATCH(F3,Recruitment_Data!$L$2:$L$241,0))</f>
        <v/>
      </c>
      <c r="C3">
        <f>INDEX(Recruitment_Data!$B$2:$B$241,MATCH(F3,Recruitment_Data!$L$2:$L$241,0))</f>
        <v/>
      </c>
      <c r="D3">
        <f>INDEX(Recruitment_Data!$C$2:$C$241,MATCH(F3,Recruitment_Data!$L$2:$L$241,0))</f>
        <v/>
      </c>
      <c r="E3">
        <f>INDEX(Recruitment_Data!$D$2:$D$241,MATCH(F3,Recruitment_Data!$L$2:$L$241,0))</f>
        <v/>
      </c>
      <c r="F3">
        <f>LARGE(Recruitment_Data!$L$2:$L$241,A3)</f>
        <v/>
      </c>
      <c r="G3" s="3">
        <f>INDEX(Recruitment_Data!$I$2:$I$241,MATCH(F3,Recruitment_Data!$L$2:$L$241,0))</f>
        <v/>
      </c>
      <c r="H3">
        <f>INDEX(Recruitment_Data!$J$2:$J$241,MATCH(F3,Recruitment_Data!$L$2:$L$241,0))</f>
        <v/>
      </c>
    </row>
    <row r="4">
      <c r="A4" t="n">
        <v>3</v>
      </c>
      <c r="B4">
        <f>INDEX(Recruitment_Data!$A$2:$A$241,MATCH(F4,Recruitment_Data!$L$2:$L$241,0))</f>
        <v/>
      </c>
      <c r="C4">
        <f>INDEX(Recruitment_Data!$B$2:$B$241,MATCH(F4,Recruitment_Data!$L$2:$L$241,0))</f>
        <v/>
      </c>
      <c r="D4">
        <f>INDEX(Recruitment_Data!$C$2:$C$241,MATCH(F4,Recruitment_Data!$L$2:$L$241,0))</f>
        <v/>
      </c>
      <c r="E4">
        <f>INDEX(Recruitment_Data!$D$2:$D$241,MATCH(F4,Recruitment_Data!$L$2:$L$241,0))</f>
        <v/>
      </c>
      <c r="F4">
        <f>LARGE(Recruitment_Data!$L$2:$L$241,A4)</f>
        <v/>
      </c>
      <c r="G4" s="3">
        <f>INDEX(Recruitment_Data!$I$2:$I$241,MATCH(F4,Recruitment_Data!$L$2:$L$241,0))</f>
        <v/>
      </c>
      <c r="H4">
        <f>INDEX(Recruitment_Data!$J$2:$J$241,MATCH(F4,Recruitment_Data!$L$2:$L$241,0))</f>
        <v/>
      </c>
    </row>
    <row r="5">
      <c r="A5" t="n">
        <v>4</v>
      </c>
      <c r="B5">
        <f>INDEX(Recruitment_Data!$A$2:$A$241,MATCH(F5,Recruitment_Data!$L$2:$L$241,0))</f>
        <v/>
      </c>
      <c r="C5">
        <f>INDEX(Recruitment_Data!$B$2:$B$241,MATCH(F5,Recruitment_Data!$L$2:$L$241,0))</f>
        <v/>
      </c>
      <c r="D5">
        <f>INDEX(Recruitment_Data!$C$2:$C$241,MATCH(F5,Recruitment_Data!$L$2:$L$241,0))</f>
        <v/>
      </c>
      <c r="E5">
        <f>INDEX(Recruitment_Data!$D$2:$D$241,MATCH(F5,Recruitment_Data!$L$2:$L$241,0))</f>
        <v/>
      </c>
      <c r="F5">
        <f>LARGE(Recruitment_Data!$L$2:$L$241,A5)</f>
        <v/>
      </c>
      <c r="G5" s="3">
        <f>INDEX(Recruitment_Data!$I$2:$I$241,MATCH(F5,Recruitment_Data!$L$2:$L$241,0))</f>
        <v/>
      </c>
      <c r="H5">
        <f>INDEX(Recruitment_Data!$J$2:$J$241,MATCH(F5,Recruitment_Data!$L$2:$L$241,0))</f>
        <v/>
      </c>
    </row>
    <row r="6">
      <c r="A6" t="n">
        <v>5</v>
      </c>
      <c r="B6">
        <f>INDEX(Recruitment_Data!$A$2:$A$241,MATCH(F6,Recruitment_Data!$L$2:$L$241,0))</f>
        <v/>
      </c>
      <c r="C6">
        <f>INDEX(Recruitment_Data!$B$2:$B$241,MATCH(F6,Recruitment_Data!$L$2:$L$241,0))</f>
        <v/>
      </c>
      <c r="D6">
        <f>INDEX(Recruitment_Data!$C$2:$C$241,MATCH(F6,Recruitment_Data!$L$2:$L$241,0))</f>
        <v/>
      </c>
      <c r="E6">
        <f>INDEX(Recruitment_Data!$D$2:$D$241,MATCH(F6,Recruitment_Data!$L$2:$L$241,0))</f>
        <v/>
      </c>
      <c r="F6">
        <f>LARGE(Recruitment_Data!$L$2:$L$241,A6)</f>
        <v/>
      </c>
      <c r="G6" s="3">
        <f>INDEX(Recruitment_Data!$I$2:$I$241,MATCH(F6,Recruitment_Data!$L$2:$L$241,0))</f>
        <v/>
      </c>
      <c r="H6">
        <f>INDEX(Recruitment_Data!$J$2:$J$241,MATCH(F6,Recruitment_Data!$L$2:$L$241,0))</f>
        <v/>
      </c>
    </row>
    <row r="7">
      <c r="A7" t="n">
        <v>6</v>
      </c>
      <c r="B7">
        <f>INDEX(Recruitment_Data!$A$2:$A$241,MATCH(F7,Recruitment_Data!$L$2:$L$241,0))</f>
        <v/>
      </c>
      <c r="C7">
        <f>INDEX(Recruitment_Data!$B$2:$B$241,MATCH(F7,Recruitment_Data!$L$2:$L$241,0))</f>
        <v/>
      </c>
      <c r="D7">
        <f>INDEX(Recruitment_Data!$C$2:$C$241,MATCH(F7,Recruitment_Data!$L$2:$L$241,0))</f>
        <v/>
      </c>
      <c r="E7">
        <f>INDEX(Recruitment_Data!$D$2:$D$241,MATCH(F7,Recruitment_Data!$L$2:$L$241,0))</f>
        <v/>
      </c>
      <c r="F7">
        <f>LARGE(Recruitment_Data!$L$2:$L$241,A7)</f>
        <v/>
      </c>
      <c r="G7" s="3">
        <f>INDEX(Recruitment_Data!$I$2:$I$241,MATCH(F7,Recruitment_Data!$L$2:$L$241,0))</f>
        <v/>
      </c>
      <c r="H7">
        <f>INDEX(Recruitment_Data!$J$2:$J$241,MATCH(F7,Recruitment_Data!$L$2:$L$241,0))</f>
        <v/>
      </c>
    </row>
    <row r="8">
      <c r="A8" t="n">
        <v>7</v>
      </c>
      <c r="B8">
        <f>INDEX(Recruitment_Data!$A$2:$A$241,MATCH(F8,Recruitment_Data!$L$2:$L$241,0))</f>
        <v/>
      </c>
      <c r="C8">
        <f>INDEX(Recruitment_Data!$B$2:$B$241,MATCH(F8,Recruitment_Data!$L$2:$L$241,0))</f>
        <v/>
      </c>
      <c r="D8">
        <f>INDEX(Recruitment_Data!$C$2:$C$241,MATCH(F8,Recruitment_Data!$L$2:$L$241,0))</f>
        <v/>
      </c>
      <c r="E8">
        <f>INDEX(Recruitment_Data!$D$2:$D$241,MATCH(F8,Recruitment_Data!$L$2:$L$241,0))</f>
        <v/>
      </c>
      <c r="F8">
        <f>LARGE(Recruitment_Data!$L$2:$L$241,A8)</f>
        <v/>
      </c>
      <c r="G8" s="3">
        <f>INDEX(Recruitment_Data!$I$2:$I$241,MATCH(F8,Recruitment_Data!$L$2:$L$241,0))</f>
        <v/>
      </c>
      <c r="H8">
        <f>INDEX(Recruitment_Data!$J$2:$J$241,MATCH(F8,Recruitment_Data!$L$2:$L$241,0))</f>
        <v/>
      </c>
    </row>
    <row r="9">
      <c r="A9" t="n">
        <v>8</v>
      </c>
      <c r="B9">
        <f>INDEX(Recruitment_Data!$A$2:$A$241,MATCH(F9,Recruitment_Data!$L$2:$L$241,0))</f>
        <v/>
      </c>
      <c r="C9">
        <f>INDEX(Recruitment_Data!$B$2:$B$241,MATCH(F9,Recruitment_Data!$L$2:$L$241,0))</f>
        <v/>
      </c>
      <c r="D9">
        <f>INDEX(Recruitment_Data!$C$2:$C$241,MATCH(F9,Recruitment_Data!$L$2:$L$241,0))</f>
        <v/>
      </c>
      <c r="E9">
        <f>INDEX(Recruitment_Data!$D$2:$D$241,MATCH(F9,Recruitment_Data!$L$2:$L$241,0))</f>
        <v/>
      </c>
      <c r="F9">
        <f>LARGE(Recruitment_Data!$L$2:$L$241,A9)</f>
        <v/>
      </c>
      <c r="G9" s="3">
        <f>INDEX(Recruitment_Data!$I$2:$I$241,MATCH(F9,Recruitment_Data!$L$2:$L$241,0))</f>
        <v/>
      </c>
      <c r="H9">
        <f>INDEX(Recruitment_Data!$J$2:$J$241,MATCH(F9,Recruitment_Data!$L$2:$L$241,0))</f>
        <v/>
      </c>
    </row>
    <row r="10">
      <c r="A10" t="n">
        <v>9</v>
      </c>
      <c r="B10">
        <f>INDEX(Recruitment_Data!$A$2:$A$241,MATCH(F10,Recruitment_Data!$L$2:$L$241,0))</f>
        <v/>
      </c>
      <c r="C10">
        <f>INDEX(Recruitment_Data!$B$2:$B$241,MATCH(F10,Recruitment_Data!$L$2:$L$241,0))</f>
        <v/>
      </c>
      <c r="D10">
        <f>INDEX(Recruitment_Data!$C$2:$C$241,MATCH(F10,Recruitment_Data!$L$2:$L$241,0))</f>
        <v/>
      </c>
      <c r="E10">
        <f>INDEX(Recruitment_Data!$D$2:$D$241,MATCH(F10,Recruitment_Data!$L$2:$L$241,0))</f>
        <v/>
      </c>
      <c r="F10">
        <f>LARGE(Recruitment_Data!$L$2:$L$241,A10)</f>
        <v/>
      </c>
      <c r="G10" s="3">
        <f>INDEX(Recruitment_Data!$I$2:$I$241,MATCH(F10,Recruitment_Data!$L$2:$L$241,0))</f>
        <v/>
      </c>
      <c r="H10">
        <f>INDEX(Recruitment_Data!$J$2:$J$241,MATCH(F10,Recruitment_Data!$L$2:$L$241,0))</f>
        <v/>
      </c>
    </row>
    <row r="11">
      <c r="A11" t="n">
        <v>10</v>
      </c>
      <c r="B11">
        <f>INDEX(Recruitment_Data!$A$2:$A$241,MATCH(F11,Recruitment_Data!$L$2:$L$241,0))</f>
        <v/>
      </c>
      <c r="C11">
        <f>INDEX(Recruitment_Data!$B$2:$B$241,MATCH(F11,Recruitment_Data!$L$2:$L$241,0))</f>
        <v/>
      </c>
      <c r="D11">
        <f>INDEX(Recruitment_Data!$C$2:$C$241,MATCH(F11,Recruitment_Data!$L$2:$L$241,0))</f>
        <v/>
      </c>
      <c r="E11">
        <f>INDEX(Recruitment_Data!$D$2:$D$241,MATCH(F11,Recruitment_Data!$L$2:$L$241,0))</f>
        <v/>
      </c>
      <c r="F11">
        <f>LARGE(Recruitment_Data!$L$2:$L$241,A11)</f>
        <v/>
      </c>
      <c r="G11" s="3">
        <f>INDEX(Recruitment_Data!$I$2:$I$241,MATCH(F11,Recruitment_Data!$L$2:$L$241,0))</f>
        <v/>
      </c>
      <c r="H11">
        <f>INDEX(Recruitment_Data!$J$2:$J$241,MATCH(F11,Recruitment_Data!$L$2:$L$241,0))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Scenario</t>
        </is>
      </c>
      <c r="B1" s="4" t="inlineStr">
        <is>
          <t>Assumption</t>
        </is>
      </c>
      <c r="C1" s="4" t="inlineStr">
        <is>
          <t>Input</t>
        </is>
      </c>
      <c r="D1" s="4" t="inlineStr">
        <is>
          <t>Expected Effect</t>
        </is>
      </c>
      <c r="E1" s="4" t="inlineStr">
        <is>
          <t>Metric</t>
        </is>
      </c>
    </row>
    <row r="2">
      <c r="A2" t="inlineStr">
        <is>
          <t>Scenario 1</t>
        </is>
      </c>
      <c r="B2" t="inlineStr">
        <is>
          <t>Reduce Interview-to-Offer drop-off by 20%</t>
        </is>
      </c>
      <c r="C2" t="n">
        <v>0.2</v>
      </c>
      <c r="D2" t="inlineStr">
        <is>
          <t>More candidates reach Offer</t>
        </is>
      </c>
      <c r="E2" t="inlineStr">
        <is>
          <t>Application-to-Hire Ratio / Cost-per-Hire</t>
        </is>
      </c>
    </row>
    <row r="3">
      <c r="A3" t="inlineStr">
        <is>
          <t>Scenario 2</t>
        </is>
      </c>
      <c r="B3" t="inlineStr">
        <is>
          <t>Increase referral hiring by 15%</t>
        </is>
      </c>
      <c r="C3" t="n">
        <v>0.15</v>
      </c>
      <c r="D3" t="inlineStr">
        <is>
          <t>More hires from Referral</t>
        </is>
      </c>
      <c r="E3" t="inlineStr">
        <is>
          <t>Conversion / Cost-per-Hire</t>
        </is>
      </c>
    </row>
    <row r="4">
      <c r="A4" t="inlineStr">
        <is>
          <t>Scenario 3</t>
        </is>
      </c>
      <c r="B4" t="inlineStr">
        <is>
          <t>Reduce average Time-to-Hire by 5 days</t>
        </is>
      </c>
      <c r="C4" t="n">
        <v>5</v>
      </c>
      <c r="D4" t="inlineStr">
        <is>
          <t>Faster recruitment cycle</t>
        </is>
      </c>
      <c r="E4" t="inlineStr">
        <is>
          <t>Time-to-Hire / Cost-per-Hire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8" customWidth="1" min="4" max="4"/>
    <col width="18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RECRUITMENT FUNNEL EFFICIENCY ANALYZER</t>
        </is>
      </c>
    </row>
    <row r="2">
      <c r="A2" t="inlineStr">
        <is>
          <t>HR Recruitment Analytics | INR ₹ | Excel / Power BI ready</t>
        </is>
      </c>
    </row>
    <row r="4">
      <c r="A4" s="10" t="inlineStr">
        <is>
          <t>Total Candidates</t>
        </is>
      </c>
      <c r="C4" s="10" t="inlineStr">
        <is>
          <t>Hires</t>
        </is>
      </c>
      <c r="E4" s="10" t="inlineStr">
        <is>
          <t>Application-to-Hire</t>
        </is>
      </c>
      <c r="G4" s="10" t="inlineStr">
        <is>
          <t>Avg Time-to-Hire</t>
        </is>
      </c>
      <c r="I4" s="10" t="inlineStr">
        <is>
          <t>Cost-per-Hire</t>
        </is>
      </c>
    </row>
    <row r="5">
      <c r="A5" s="11">
        <f>KPI_Summary!B2</f>
        <v/>
      </c>
      <c r="C5" s="11">
        <f>KPI_Summary!B3</f>
        <v/>
      </c>
      <c r="E5" s="12">
        <f>KPI_Summary!B4</f>
        <v/>
      </c>
      <c r="G5" s="13">
        <f>KPI_Summary!B5</f>
        <v/>
      </c>
      <c r="I5" s="14">
        <f>KPI_Summary!B7</f>
        <v/>
      </c>
    </row>
    <row r="7">
      <c r="A7" s="10" t="inlineStr">
        <is>
          <t>Offer Acceptance</t>
        </is>
      </c>
    </row>
    <row r="8">
      <c r="A8" s="12">
        <f>KPI_Summary!B8</f>
        <v/>
      </c>
    </row>
    <row r="11">
      <c r="A11" s="15" t="inlineStr">
        <is>
          <t>Source</t>
        </is>
      </c>
      <c r="C11" s="15" t="inlineStr">
        <is>
          <t>Department</t>
        </is>
      </c>
      <c r="E11" s="15" t="inlineStr">
        <is>
          <t>Stage</t>
        </is>
      </c>
      <c r="G11" s="15" t="inlineStr">
        <is>
          <t>Final Status</t>
        </is>
      </c>
    </row>
    <row r="12">
      <c r="A12" t="inlineStr">
        <is>
          <t>□ Job Portal</t>
        </is>
      </c>
      <c r="C12" t="inlineStr">
        <is>
          <t>□ IT</t>
        </is>
      </c>
      <c r="E12" t="inlineStr">
        <is>
          <t>□ Applied</t>
        </is>
      </c>
      <c r="G12" t="inlineStr">
        <is>
          <t>□ Hired</t>
        </is>
      </c>
    </row>
    <row r="13">
      <c r="A13" t="inlineStr">
        <is>
          <t>□ Referral</t>
        </is>
      </c>
      <c r="C13" t="inlineStr">
        <is>
          <t>□ Finance</t>
        </is>
      </c>
      <c r="E13" t="inlineStr">
        <is>
          <t>□ Screened</t>
        </is>
      </c>
      <c r="G13" t="inlineStr">
        <is>
          <t>□ Rejected</t>
        </is>
      </c>
    </row>
    <row r="14">
      <c r="A14" t="inlineStr">
        <is>
          <t>□ LinkedIn</t>
        </is>
      </c>
      <c r="C14" t="inlineStr">
        <is>
          <t>□ HR</t>
        </is>
      </c>
      <c r="E14" t="inlineStr">
        <is>
          <t>□ Interviewed</t>
        </is>
      </c>
    </row>
    <row r="15">
      <c r="A15" t="inlineStr">
        <is>
          <t>□ Campus</t>
        </is>
      </c>
      <c r="C15" t="inlineStr">
        <is>
          <t>□ Sales</t>
        </is>
      </c>
      <c r="E15" t="inlineStr">
        <is>
          <t>□ Offered</t>
        </is>
      </c>
    </row>
    <row r="16">
      <c r="C16" t="inlineStr">
        <is>
          <t>□ Operations</t>
        </is>
      </c>
      <c r="E16" t="inlineStr">
        <is>
          <t>□ Hired</t>
        </is>
      </c>
    </row>
    <row r="17">
      <c r="C17" t="inlineStr">
        <is>
          <t>□ Marketing</t>
        </is>
      </c>
      <c r="E17" t="inlineStr">
        <is>
          <t>□ Rejected</t>
        </is>
      </c>
    </row>
    <row r="53">
      <c r="A53" s="8" t="inlineStr">
        <is>
          <t>Candidate ID</t>
        </is>
      </c>
      <c r="B53" s="8" t="inlineStr">
        <is>
          <t>Source</t>
        </is>
      </c>
      <c r="C53" s="8" t="inlineStr">
        <is>
          <t>Department</t>
        </is>
      </c>
      <c r="D53" s="8" t="inlineStr">
        <is>
          <t>Role</t>
        </is>
      </c>
      <c r="E53" s="8" t="inlineStr">
        <is>
          <t>Time-to-Hire</t>
        </is>
      </c>
      <c r="F53" s="8" t="inlineStr">
        <is>
          <t>Hiring Cost (₹)</t>
        </is>
      </c>
    </row>
    <row r="54">
      <c r="A54">
        <f>Top_10_Longest_Cases!B2</f>
        <v/>
      </c>
      <c r="B54">
        <f>Top_10_Longest_Cases!C2</f>
        <v/>
      </c>
      <c r="C54">
        <f>Top_10_Longest_Cases!D2</f>
        <v/>
      </c>
      <c r="D54">
        <f>Top_10_Longest_Cases!E2</f>
        <v/>
      </c>
      <c r="E54">
        <f>Top_10_Longest_Cases!F2</f>
        <v/>
      </c>
      <c r="F54" s="3">
        <f>Top_10_Longest_Cases!G2</f>
        <v/>
      </c>
    </row>
    <row r="55">
      <c r="A55">
        <f>Top_10_Longest_Cases!B3</f>
        <v/>
      </c>
      <c r="B55">
        <f>Top_10_Longest_Cases!C3</f>
        <v/>
      </c>
      <c r="C55">
        <f>Top_10_Longest_Cases!D3</f>
        <v/>
      </c>
      <c r="D55">
        <f>Top_10_Longest_Cases!E3</f>
        <v/>
      </c>
      <c r="E55">
        <f>Top_10_Longest_Cases!F3</f>
        <v/>
      </c>
      <c r="F55" s="3">
        <f>Top_10_Longest_Cases!G3</f>
        <v/>
      </c>
    </row>
    <row r="56">
      <c r="A56">
        <f>Top_10_Longest_Cases!B4</f>
        <v/>
      </c>
      <c r="B56">
        <f>Top_10_Longest_Cases!C4</f>
        <v/>
      </c>
      <c r="C56">
        <f>Top_10_Longest_Cases!D4</f>
        <v/>
      </c>
      <c r="D56">
        <f>Top_10_Longest_Cases!E4</f>
        <v/>
      </c>
      <c r="E56">
        <f>Top_10_Longest_Cases!F4</f>
        <v/>
      </c>
      <c r="F56" s="3">
        <f>Top_10_Longest_Cases!G4</f>
        <v/>
      </c>
    </row>
    <row r="57">
      <c r="A57">
        <f>Top_10_Longest_Cases!B5</f>
        <v/>
      </c>
      <c r="B57">
        <f>Top_10_Longest_Cases!C5</f>
        <v/>
      </c>
      <c r="C57">
        <f>Top_10_Longest_Cases!D5</f>
        <v/>
      </c>
      <c r="D57">
        <f>Top_10_Longest_Cases!E5</f>
        <v/>
      </c>
      <c r="E57">
        <f>Top_10_Longest_Cases!F5</f>
        <v/>
      </c>
      <c r="F57" s="3">
        <f>Top_10_Longest_Cases!G5</f>
        <v/>
      </c>
    </row>
    <row r="58">
      <c r="A58">
        <f>Top_10_Longest_Cases!B6</f>
        <v/>
      </c>
      <c r="B58">
        <f>Top_10_Longest_Cases!C6</f>
        <v/>
      </c>
      <c r="C58">
        <f>Top_10_Longest_Cases!D6</f>
        <v/>
      </c>
      <c r="D58">
        <f>Top_10_Longest_Cases!E6</f>
        <v/>
      </c>
      <c r="E58">
        <f>Top_10_Longest_Cases!F6</f>
        <v/>
      </c>
      <c r="F58" s="3">
        <f>Top_10_Longest_Cases!G6</f>
        <v/>
      </c>
    </row>
    <row r="59">
      <c r="A59">
        <f>Top_10_Longest_Cases!B7</f>
        <v/>
      </c>
      <c r="B59">
        <f>Top_10_Longest_Cases!C7</f>
        <v/>
      </c>
      <c r="C59">
        <f>Top_10_Longest_Cases!D7</f>
        <v/>
      </c>
      <c r="D59">
        <f>Top_10_Longest_Cases!E7</f>
        <v/>
      </c>
      <c r="E59">
        <f>Top_10_Longest_Cases!F7</f>
        <v/>
      </c>
      <c r="F59" s="3">
        <f>Top_10_Longest_Cases!G7</f>
        <v/>
      </c>
    </row>
    <row r="60">
      <c r="A60">
        <f>Top_10_Longest_Cases!B8</f>
        <v/>
      </c>
      <c r="B60">
        <f>Top_10_Longest_Cases!C8</f>
        <v/>
      </c>
      <c r="C60">
        <f>Top_10_Longest_Cases!D8</f>
        <v/>
      </c>
      <c r="D60">
        <f>Top_10_Longest_Cases!E8</f>
        <v/>
      </c>
      <c r="E60">
        <f>Top_10_Longest_Cases!F8</f>
        <v/>
      </c>
      <c r="F60" s="3">
        <f>Top_10_Longest_Cases!G8</f>
        <v/>
      </c>
    </row>
    <row r="61">
      <c r="A61">
        <f>Top_10_Longest_Cases!B9</f>
        <v/>
      </c>
      <c r="B61">
        <f>Top_10_Longest_Cases!C9</f>
        <v/>
      </c>
      <c r="C61">
        <f>Top_10_Longest_Cases!D9</f>
        <v/>
      </c>
      <c r="D61">
        <f>Top_10_Longest_Cases!E9</f>
        <v/>
      </c>
      <c r="E61">
        <f>Top_10_Longest_Cases!F9</f>
        <v/>
      </c>
      <c r="F61" s="3">
        <f>Top_10_Longest_Cases!G9</f>
        <v/>
      </c>
    </row>
    <row r="62">
      <c r="A62">
        <f>Top_10_Longest_Cases!B10</f>
        <v/>
      </c>
      <c r="B62">
        <f>Top_10_Longest_Cases!C10</f>
        <v/>
      </c>
      <c r="C62">
        <f>Top_10_Longest_Cases!D10</f>
        <v/>
      </c>
      <c r="D62">
        <f>Top_10_Longest_Cases!E10</f>
        <v/>
      </c>
      <c r="E62">
        <f>Top_10_Longest_Cases!F10</f>
        <v/>
      </c>
      <c r="F62" s="3">
        <f>Top_10_Longest_Cases!G10</f>
        <v/>
      </c>
    </row>
    <row r="63">
      <c r="A63">
        <f>Top_10_Longest_Cases!B11</f>
        <v/>
      </c>
      <c r="B63">
        <f>Top_10_Longest_Cases!C11</f>
        <v/>
      </c>
      <c r="C63">
        <f>Top_10_Longest_Cases!D11</f>
        <v/>
      </c>
      <c r="D63">
        <f>Top_10_Longest_Cases!E11</f>
        <v/>
      </c>
      <c r="E63">
        <f>Top_10_Longest_Cases!F11</f>
        <v/>
      </c>
      <c r="F63" s="3">
        <f>Top_10_Longest_Cases!G11</f>
        <v/>
      </c>
    </row>
  </sheetData>
  <mergeCells count="36">
    <mergeCell ref="E12:F12"/>
    <mergeCell ref="G12:H12"/>
    <mergeCell ref="A15:B15"/>
    <mergeCell ref="C15:D15"/>
    <mergeCell ref="A11:B11"/>
    <mergeCell ref="G11:H11"/>
    <mergeCell ref="C5:D5"/>
    <mergeCell ref="E5:F5"/>
    <mergeCell ref="C14:D14"/>
    <mergeCell ref="E14:F14"/>
    <mergeCell ref="E17:F17"/>
    <mergeCell ref="C4:D4"/>
    <mergeCell ref="E4:F4"/>
    <mergeCell ref="A7:B7"/>
    <mergeCell ref="C16:D16"/>
    <mergeCell ref="E13:F13"/>
    <mergeCell ref="G13:H13"/>
    <mergeCell ref="A12:B12"/>
    <mergeCell ref="A1:J1"/>
    <mergeCell ref="C12:D12"/>
    <mergeCell ref="E15:F15"/>
    <mergeCell ref="C11:D11"/>
    <mergeCell ref="E11:F11"/>
    <mergeCell ref="A5:B5"/>
    <mergeCell ref="G5:H5"/>
    <mergeCell ref="I5:J5"/>
    <mergeCell ref="A14:B14"/>
    <mergeCell ref="A8:B8"/>
    <mergeCell ref="C17:D17"/>
    <mergeCell ref="A4:B4"/>
    <mergeCell ref="G4:H4"/>
    <mergeCell ref="I4:J4"/>
    <mergeCell ref="E16:F16"/>
    <mergeCell ref="A13:B13"/>
    <mergeCell ref="C13:D13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PROJECT TITLE</t>
        </is>
      </c>
      <c r="B1" s="4" t="inlineStr">
        <is>
          <t>Recruitment Funnel Efficiency Analyzer</t>
        </is>
      </c>
    </row>
    <row r="2">
      <c r="A2" t="inlineStr">
        <is>
          <t>Objective</t>
        </is>
      </c>
      <c r="B2" s="16" t="inlineStr">
        <is>
          <t>Analyze recruitment from applications to offers using conversion rates, time-to-hire, cost-per-hire and bottleneck analysis.</t>
        </is>
      </c>
    </row>
    <row r="3">
      <c r="A3" t="inlineStr">
        <is>
          <t>Dataset</t>
        </is>
      </c>
      <c r="B3" s="16" t="inlineStr">
        <is>
          <t>240 sample recruitment records; requirement is 200+.</t>
        </is>
      </c>
    </row>
    <row r="4">
      <c r="A4" t="inlineStr">
        <is>
          <t>Stage Duration</t>
        </is>
      </c>
      <c r="B4" s="16" t="inlineStr">
        <is>
          <t>Stage Exit Date − Stage Entry Date.</t>
        </is>
      </c>
    </row>
    <row r="5">
      <c r="A5" t="inlineStr">
        <is>
          <t>Application-to-Hire Ratio</t>
        </is>
      </c>
      <c r="B5" s="16" t="inlineStr">
        <is>
          <t>Hired ÷ Applied.</t>
        </is>
      </c>
    </row>
    <row r="6">
      <c r="A6" t="inlineStr">
        <is>
          <t>Stage Conversion %</t>
        </is>
      </c>
      <c r="B6" s="16" t="inlineStr">
        <is>
          <t>Candidates progressed ÷ candidates entered stage.</t>
        </is>
      </c>
    </row>
    <row r="7">
      <c r="A7" t="inlineStr">
        <is>
          <t>Time-to-Hire</t>
        </is>
      </c>
      <c r="B7" s="16" t="inlineStr">
        <is>
          <t>Hired candidate exit date − Applied date.</t>
        </is>
      </c>
    </row>
    <row r="8">
      <c r="A8" t="inlineStr">
        <is>
          <t>Cost-per-Hire</t>
        </is>
      </c>
      <c r="B8" s="16" t="inlineStr">
        <is>
          <t>Total Hiring Cost ÷ Number of Hires.</t>
        </is>
      </c>
    </row>
    <row r="9">
      <c r="A9" t="inlineStr">
        <is>
          <t>Offer Acceptance Rate</t>
        </is>
      </c>
      <c r="B9" s="16" t="inlineStr">
        <is>
          <t>Offers Accepted ÷ Offers Given.</t>
        </is>
      </c>
    </row>
    <row r="10">
      <c r="A10" t="inlineStr">
        <is>
          <t>Dashboard</t>
        </is>
      </c>
      <c r="B10" s="16" t="inlineStr">
        <is>
          <t>Funnel, drop-off %, hires by source, time-to-hire trend, cost-per-hire by source, and department conversion.</t>
        </is>
      </c>
    </row>
    <row r="11">
      <c r="A11" t="inlineStr">
        <is>
          <t>Top 10</t>
        </is>
      </c>
      <c r="B11" s="16" t="inlineStr">
        <is>
          <t>Longest recruitment cases with Candidate ID and duration.</t>
        </is>
      </c>
    </row>
    <row r="12">
      <c r="A12" t="inlineStr">
        <is>
          <t>What-if 1</t>
        </is>
      </c>
      <c r="B12" s="16" t="inlineStr">
        <is>
          <t>Reduce Interview-to-Offer drop-off by 20%.</t>
        </is>
      </c>
    </row>
    <row r="13">
      <c r="A13" t="inlineStr">
        <is>
          <t>What-if 2</t>
        </is>
      </c>
      <c r="B13" s="16" t="inlineStr">
        <is>
          <t>Increase referral hiring by 15%.</t>
        </is>
      </c>
    </row>
    <row r="14">
      <c r="A14" t="inlineStr">
        <is>
          <t>What-if 3</t>
        </is>
      </c>
      <c r="B14" s="16" t="inlineStr">
        <is>
          <t>Reduce average time-to-hire by 5 days.</t>
        </is>
      </c>
    </row>
    <row r="15">
      <c r="A15" t="inlineStr">
        <is>
          <t>Currency</t>
        </is>
      </c>
      <c r="B15" s="16" t="inlineStr">
        <is>
          <t>Recruitment cost values use INR (₹).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2026-09-24T16:13:04Z</dcterms:created>
  <dcterms:modified xmlns:dcterms="http://purl.org/dc/terms/" xmlns:xsi="http://www.w3.org/2001/XMLSchema-instance" xsi:type="dcterms:W3CDTF">2026-09-24T16:13:04Z</dcterms:modified>
</cp:coreProperties>
</file>